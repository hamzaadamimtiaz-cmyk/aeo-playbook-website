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etup" sheetId="2" state="visible" r:id="rId4"/>
    <sheet name="Prompts" sheetId="3" state="visible" r:id="rId5"/>
    <sheet name="Results" sheetId="4" state="visible" r:id="rId6"/>
    <sheet name="Share of Voice" sheetId="5" state="visible" r:id="rId7"/>
    <sheet name="Competitor Map" sheetId="6" state="visible" r:id="rId8"/>
    <sheet name="Action Pla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<sst xmlns="http://schemas.openxmlformats.org/spreadsheetml/2006/main" count="309" uniqueCount="121">
  <si>
    <t xml:space="preserve">THE AEO AUDIT SPREADSHEET</t>
  </si>
  <si>
    <t xml:space="preserve">Companion to The AEO Playbook (2026 Edition)</t>
  </si>
  <si>
    <t xml:space="preserve">HOW TO USE THIS SPREADSHEET</t>
  </si>
  <si>
    <t xml:space="preserve">Step 1</t>
  </si>
  <si>
    <t xml:space="preserve">Make a copy of this spreadsheet to your own Drive or computer. File &gt; Make a copy (Google Sheets) or File &gt; Save As (Excel).</t>
  </si>
  <si>
    <t xml:space="preserve">Step 2</t>
  </si>
  <si>
    <t xml:space="preserve">Go to the 'Prompts' tab. Replace the placeholder prompts with 30 prompts your customers would actually ask AI. 10 category, 10 comparison, 10 problem-solution.</t>
  </si>
  <si>
    <t xml:space="preserve">Step 3</t>
  </si>
  <si>
    <t xml:space="preserve">Go to the 'Results' tab. For each prompt, run it through ChatGPT, Claude, Perplexity, and Google AI Overviews. Log whether your brand was mentioned, your position, who beat you, and which sources were cited.</t>
  </si>
  <si>
    <t xml:space="preserve">Step 4</t>
  </si>
  <si>
    <t xml:space="preserve">Check the 'Share of Voice' tab. It auto-calculates from your Results. This is your headline number.</t>
  </si>
  <si>
    <t xml:space="preserve">Step 5</t>
  </si>
  <si>
    <t xml:space="preserve">Check the 'Competitor Map' tab. It shows you exactly who is winning your category.</t>
  </si>
  <si>
    <t xml:space="preserve">Step 6</t>
  </si>
  <si>
    <t xml:space="preserve">Use the diagnosis to execute the 7 levers in Part 3 of the playbook.</t>
  </si>
  <si>
    <t xml:space="preserve">KEY CONCEPTS</t>
  </si>
  <si>
    <t xml:space="preserve">Share of Voice</t>
  </si>
  <si>
    <t xml:space="preserve">The % of AI answers in your category where your brand was named. Your headline number.</t>
  </si>
  <si>
    <t xml:space="preserve">Position</t>
  </si>
  <si>
    <t xml:space="preserve">Where you appeared in the AI's answer. 1 = named first (best). 2 = second. 3+ = mentioned later. 0 = not mentioned.</t>
  </si>
  <si>
    <t xml:space="preserve">Category prompts</t>
  </si>
  <si>
    <t xml:space="preserve">Broad discovery queries (e.g. 'best CRM for small business'). Hardest to win, biggest payoff.</t>
  </si>
  <si>
    <t xml:space="preserve">Comparison prompts</t>
  </si>
  <si>
    <t xml:space="preserve">Head-to-head queries (e.g. 'Brand X vs Brand Y'). Easiest to move with comparison content.</t>
  </si>
  <si>
    <t xml:space="preserve">Problem-solution prompts</t>
  </si>
  <si>
    <t xml:space="preserve">Customer-pain queries (e.g. 'how do I reduce churn'). Highest intent, often least competition.</t>
  </si>
  <si>
    <t xml:space="preserve">SETUP</t>
  </si>
  <si>
    <t xml:space="preserve">Fill in these fields before starting. They power the rest of the spreadsheet.</t>
  </si>
  <si>
    <t xml:space="preserve">Your Business Name</t>
  </si>
  <si>
    <t xml:space="preserve">[Enter your brand name exactly as you'd want AI to cite it]</t>
  </si>
  <si>
    <t xml:space="preserve">Your Website</t>
  </si>
  <si>
    <t xml:space="preserve">[yourwebsite.com]</t>
  </si>
  <si>
    <t xml:space="preserve">Your Category</t>
  </si>
  <si>
    <t xml:space="preserve">[e.g. men's running apparel, B2B CRM, marketing agency]</t>
  </si>
  <si>
    <t xml:space="preserve">Top Competitor 1</t>
  </si>
  <si>
    <t xml:space="preserve">[Competitor name]</t>
  </si>
  <si>
    <t xml:space="preserve">Top Competitor 2</t>
  </si>
  <si>
    <t xml:space="preserve">Top Competitor 3</t>
  </si>
  <si>
    <t xml:space="preserve">Top Competitor 4</t>
  </si>
  <si>
    <t xml:space="preserve">Top Competitor 5</t>
  </si>
  <si>
    <t xml:space="preserve">Audit Date</t>
  </si>
  <si>
    <t xml:space="preserve">[YYYY-MM-DD]</t>
  </si>
  <si>
    <t xml:space="preserve">30 PROMPTS</t>
  </si>
  <si>
    <t xml:space="preserve">Replace placeholder prompts below with what your customers would actually ask AI.</t>
  </si>
  <si>
    <t xml:space="preserve">#</t>
  </si>
  <si>
    <t xml:space="preserve">Category</t>
  </si>
  <si>
    <t xml:space="preserve">Prompt</t>
  </si>
  <si>
    <t xml:space="preserve">Best [your category] for [target customer]</t>
  </si>
  <si>
    <t xml:space="preserve">Top [your category] in 2026</t>
  </si>
  <si>
    <t xml:space="preserve">Best [your category] brands</t>
  </si>
  <si>
    <t xml:space="preserve">Best [your category] for beginners</t>
  </si>
  <si>
    <t xml:space="preserve">Best premium [your category]</t>
  </si>
  <si>
    <t xml:space="preserve">Best affordable [your category]</t>
  </si>
  <si>
    <t xml:space="preserve">Most popular [your category] right now</t>
  </si>
  <si>
    <t xml:space="preserve">Best [your category] for [specific use case]</t>
  </si>
  <si>
    <t xml:space="preserve">Top rated [your category]</t>
  </si>
  <si>
    <t xml:space="preserve">Best [your category] alternatives to [market leader]</t>
  </si>
  <si>
    <t xml:space="preserve">Comparison</t>
  </si>
  <si>
    <t xml:space="preserve">[Your brand] vs [Competitor 1]</t>
  </si>
  <si>
    <t xml:space="preserve">[Your brand] vs [Competitor 2]</t>
  </si>
  <si>
    <t xml:space="preserve">[Competitor 1] vs [Competitor 2]</t>
  </si>
  <si>
    <t xml:space="preserve">[Competitor 1] vs [Competitor 3]</t>
  </si>
  <si>
    <t xml:space="preserve">Best alternative to [Competitor 1]</t>
  </si>
  <si>
    <t xml:space="preserve">Best alternative to [Competitor 2]</t>
  </si>
  <si>
    <t xml:space="preserve">Is [Competitor 1] worth it</t>
  </si>
  <si>
    <t xml:space="preserve">[Your brand] review</t>
  </si>
  <si>
    <t xml:space="preserve">[Competitor 1] review</t>
  </si>
  <si>
    <t xml:space="preserve">[Your brand] vs [Competitor 1] for [use case]</t>
  </si>
  <si>
    <t xml:space="preserve">Problem-Solution</t>
  </si>
  <si>
    <t xml:space="preserve">What should I use for [customer problem]</t>
  </si>
  <si>
    <t xml:space="preserve">How do I [achieve customer outcome]</t>
  </si>
  <si>
    <t xml:space="preserve">Best tool for [specific situation]</t>
  </si>
  <si>
    <t xml:space="preserve">What [your category] works for [specific need]</t>
  </si>
  <si>
    <t xml:space="preserve">I need [your category] that can [specific feature]</t>
  </si>
  <si>
    <t xml:space="preserve">Recommend [your category] for [user persona]</t>
  </si>
  <si>
    <t xml:space="preserve">Best [your category] under [price point]</t>
  </si>
  <si>
    <t xml:space="preserve">What [your category] do [target persona] use</t>
  </si>
  <si>
    <t xml:space="preserve">Help me choose [your category]</t>
  </si>
  <si>
    <t xml:space="preserve">What's the difference between [option 1] and [option 2]</t>
  </si>
  <si>
    <t xml:space="preserve">AUDIT RESULTS</t>
  </si>
  <si>
    <t xml:space="preserve">For each prompt, run it across all 4 engines. Log whether your brand appeared, your position, competitors named, and sources cited.</t>
  </si>
  <si>
    <t xml:space="preserve">Engine</t>
  </si>
  <si>
    <t xml:space="preserve">Mentioned? (Y/N)</t>
  </si>
  <si>
    <t xml:space="preserve">Position (0-10)</t>
  </si>
  <si>
    <t xml:space="preserve">Competitors Named</t>
  </si>
  <si>
    <t xml:space="preserve">Sources Cited</t>
  </si>
  <si>
    <t xml:space="preserve">ChatGPT</t>
  </si>
  <si>
    <t xml:space="preserve">Claude</t>
  </si>
  <si>
    <t xml:space="preserve">Perplexity</t>
  </si>
  <si>
    <t xml:space="preserve">Google AI Overviews</t>
  </si>
  <si>
    <t xml:space="preserve">SHARE OF VOICE</t>
  </si>
  <si>
    <t xml:space="preserve">Auto-calculated from the Results tab. This is your headline number.</t>
  </si>
  <si>
    <t xml:space="preserve">OVERALL</t>
  </si>
  <si>
    <t xml:space="preserve">Total prompts run</t>
  </si>
  <si>
    <t xml:space="preserve">Total mentions</t>
  </si>
  <si>
    <t xml:space="preserve">Share of Voice (overall)</t>
  </si>
  <si>
    <t xml:space="preserve">BY ENGINE</t>
  </si>
  <si>
    <t xml:space="preserve">Mentions</t>
  </si>
  <si>
    <t xml:space="preserve">Total Prompts</t>
  </si>
  <si>
    <t xml:space="preserve">BY CATEGORY</t>
  </si>
  <si>
    <t xml:space="preserve">ENGINE x CATEGORY (DEEP DIVE)</t>
  </si>
  <si>
    <t xml:space="preserve">COMPETITOR MAP</t>
  </si>
  <si>
    <t xml:space="preserve">Track every competitor you saw mentioned in the Results tab. Add their name and the spreadsheet will count their mentions vs yours.</t>
  </si>
  <si>
    <t xml:space="preserve">Competitor Brand</t>
  </si>
  <si>
    <t xml:space="preserve">Times Mentioned</t>
  </si>
  <si>
    <t xml:space="preserve">Notes</t>
  </si>
  <si>
    <t xml:space="preserve">YOU</t>
  </si>
  <si>
    <t xml:space="preserve">Your brand's total mentions across all prompts and engines</t>
  </si>
  <si>
    <t xml:space="preserve">ACTION PLAN</t>
  </si>
  <si>
    <t xml:space="preserve">Based on your audit findings, list the specific actions you'll take across the 7 levers. Prioritize by impact and effort.</t>
  </si>
  <si>
    <t xml:space="preserve">Lever</t>
  </si>
  <si>
    <t xml:space="preserve">Specific Action</t>
  </si>
  <si>
    <t xml:space="preserve">Priority (1-5)</t>
  </si>
  <si>
    <t xml:space="preserve">Status</t>
  </si>
  <si>
    <t xml:space="preserve">1. Third-Party Authority Sites</t>
  </si>
  <si>
    <t xml:space="preserve">2. Reddit and Forums</t>
  </si>
  <si>
    <t xml:space="preserve">3. Comparison Content</t>
  </si>
  <si>
    <t xml:space="preserve">4. FAQ / Answer Content</t>
  </si>
  <si>
    <t xml:space="preserve">5. Schema Markup</t>
  </si>
  <si>
    <t xml:space="preserve">6. Entity Clarity</t>
  </si>
  <si>
    <t xml:space="preserve">7. Owned AI-Crawled Platforms</t>
  </si>
</sst>
</file>

<file path=xl/styles.xml><?xml version="1.0" encoding="utf-8"?>
<styleSheet xmlns="http://schemas.openxmlformats.org/spreadsheetml/2006/main">
  <numFmts count="2">
    <numFmt numFmtId="164" formatCode="General"/>
    <numFmt numFmtId="165" formatCode="0.0%"/>
  </numFmts>
  <fonts count="13">
    <font>
      <sz val="11"/>
      <color theme="1"/>
      <name val="Calibri"/>
      <family val="2"/>
      <charset val="1"/>
    </font>
    <font>
      <sz val="10"/>
      <name val="Arial"/>
      <family val="0"/>
    </font>
    <font>
      <sz val="10"/>
      <name val="Arial"/>
      <family val="0"/>
    </font>
    <font>
      <sz val="10"/>
      <name val="Arial"/>
      <family val="0"/>
    </font>
    <font>
      <b val="true"/>
      <sz val="18"/>
      <color rgb="FF0A0E27"/>
      <name val="Arial"/>
      <family val="0"/>
      <charset val="1"/>
    </font>
    <font>
      <i val="true"/>
      <sz val="11"/>
      <color rgb="FF666666"/>
      <name val="Arial"/>
      <family val="0"/>
      <charset val="1"/>
    </font>
    <font>
      <b val="true"/>
      <sz val="10"/>
      <color rgb="FF0A0E27"/>
      <name val="Arial"/>
      <family val="0"/>
      <charset val="1"/>
    </font>
    <font>
      <sz val="10"/>
      <name val="Arial"/>
      <family val="0"/>
      <charset val="1"/>
    </font>
    <font>
      <b val="true"/>
      <sz val="16"/>
      <color rgb="FF0A0E27"/>
      <name val="Arial"/>
      <family val="0"/>
      <charset val="1"/>
    </font>
    <font>
      <i val="true"/>
      <sz val="9"/>
      <color rgb="FF666666"/>
      <name val="Arial"/>
      <family val="0"/>
      <charset val="1"/>
    </font>
    <font>
      <b val="true"/>
      <sz val="11"/>
      <color rgb="FFFFFFFF"/>
      <name val="Arial"/>
      <family val="0"/>
      <charset val="1"/>
    </font>
    <font>
      <b val="true"/>
      <sz val="11"/>
      <color rgb="FF0A0E27"/>
      <name val="Arial"/>
      <family val="0"/>
      <charset val="1"/>
    </font>
    <font>
      <b val="true"/>
      <sz val="14"/>
      <color rgb="FF0A0E27"/>
      <name val="Arial"/>
      <family val="0"/>
      <charset val="1"/>
    </font>
  </fonts>
  <fills count="11">
    <fill>
      <patternFill patternType="none"/>
    </fill>
    <fill>
      <patternFill patternType="gray125"/>
    </fill>
    <fill>
      <patternFill patternType="solid">
        <fgColor rgb="FFF5F5F5"/>
        <bgColor rgb="FFFFFEF5"/>
      </patternFill>
    </fill>
    <fill>
      <patternFill patternType="solid">
        <fgColor rgb="FFFFFACD"/>
        <bgColor rgb="FFFFF9C4"/>
      </patternFill>
    </fill>
    <fill>
      <patternFill patternType="solid">
        <fgColor rgb="FF0A0E27"/>
        <bgColor rgb="FF000000"/>
      </patternFill>
    </fill>
    <fill>
      <patternFill patternType="solid">
        <fgColor rgb="FFE3F2FD"/>
        <bgColor rgb="FFF5F5F5"/>
      </patternFill>
    </fill>
    <fill>
      <patternFill patternType="solid">
        <fgColor rgb="FFFFF3E0"/>
        <bgColor rgb="FFFFFACD"/>
      </patternFill>
    </fill>
    <fill>
      <patternFill patternType="solid">
        <fgColor rgb="FFF3E5F5"/>
        <bgColor rgb="FFE8E8E8"/>
      </patternFill>
    </fill>
    <fill>
      <patternFill patternType="solid">
        <fgColor rgb="FFFFFEF5"/>
        <bgColor rgb="FFFFFFFF"/>
      </patternFill>
    </fill>
    <fill>
      <patternFill patternType="solid">
        <fgColor rgb="FFE8E8E8"/>
        <bgColor rgb="FFF3E5F5"/>
      </patternFill>
    </fill>
    <fill>
      <patternFill patternType="solid">
        <fgColor rgb="FFFFF9C4"/>
        <bgColor rgb="FFFFFACD"/>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6" fillId="9"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11" fillId="10" borderId="1" xfId="0" applyFont="true" applyBorder="true" applyAlignment="false" applyProtection="false">
      <alignment horizontal="general" vertical="bottom" textRotation="0" wrapText="false" indent="0" shrinkToFit="false"/>
      <protection locked="true" hidden="false"/>
    </xf>
    <xf numFmtId="165" fontId="11" fillId="10" borderId="1" xfId="0" applyFont="true" applyBorder="true" applyAlignment="false" applyProtection="false">
      <alignment horizontal="general" vertical="bottom" textRotation="0" wrapText="false" indent="0" shrinkToFit="false"/>
      <protection locked="true" hidden="false"/>
    </xf>
    <xf numFmtId="164" fontId="7" fillId="1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D4EDDA"/>
        </patternFill>
      </fill>
    </dxf>
    <dxf>
      <fill>
        <patternFill>
          <bgColor rgb="FFF8D7DA"/>
        </patternFill>
      </fill>
    </dxf>
  </dxfs>
  <colors>
    <indexedColors>
      <rgbColor rgb="FF000000"/>
      <rgbColor rgb="FFFFFFFF"/>
      <rgbColor rgb="FFFF0000"/>
      <rgbColor rgb="FF00FF00"/>
      <rgbColor rgb="FF0000FF"/>
      <rgbColor rgb="FFFFFEF5"/>
      <rgbColor rgb="FFFF00FF"/>
      <rgbColor rgb="FF00FFFF"/>
      <rgbColor rgb="FF800000"/>
      <rgbColor rgb="FF008000"/>
      <rgbColor rgb="FF000080"/>
      <rgbColor rgb="FF808000"/>
      <rgbColor rgb="FF800080"/>
      <rgbColor rgb="FF008080"/>
      <rgbColor rgb="FFCCCCCC"/>
      <rgbColor rgb="FF808080"/>
      <rgbColor rgb="FF9999FF"/>
      <rgbColor rgb="FF993366"/>
      <rgbColor rgb="FFFFFACD"/>
      <rgbColor rgb="FFE3F2FD"/>
      <rgbColor rgb="FF660066"/>
      <rgbColor rgb="FFFF8080"/>
      <rgbColor rgb="FF0066CC"/>
      <rgbColor rgb="FFE8E8E8"/>
      <rgbColor rgb="FF000080"/>
      <rgbColor rgb="FFFF00FF"/>
      <rgbColor rgb="FFFFFF00"/>
      <rgbColor rgb="FF00FFFF"/>
      <rgbColor rgb="FF800080"/>
      <rgbColor rgb="FF800000"/>
      <rgbColor rgb="FF008080"/>
      <rgbColor rgb="FF0000FF"/>
      <rgbColor rgb="FF00CCFF"/>
      <rgbColor rgb="FFF5F5F5"/>
      <rgbColor rgb="FFD4EDDA"/>
      <rgbColor rgb="FFFFF9C4"/>
      <rgbColor rgb="FFF3E5F5"/>
      <rgbColor rgb="FFFFF3E0"/>
      <rgbColor rgb="FFCC99FF"/>
      <rgbColor rgb="FFF8D7DA"/>
      <rgbColor rgb="FF3366FF"/>
      <rgbColor rgb="FF33CCCC"/>
      <rgbColor rgb="FF99CC00"/>
      <rgbColor rgb="FFFFCC00"/>
      <rgbColor rgb="FFFF9900"/>
      <rgbColor rgb="FFFF6600"/>
      <rgbColor rgb="FF666666"/>
      <rgbColor rgb="FF969696"/>
      <rgbColor rgb="FF003366"/>
      <rgbColor rgb="FF339966"/>
      <rgbColor rgb="FF0A0E27"/>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5" min="2" style="0" width="25"/>
  </cols>
  <sheetData>
    <row r="1" customFormat="false" ht="22.05"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c r="B4" s="3"/>
      <c r="C4" s="3"/>
      <c r="D4" s="3"/>
      <c r="E4" s="3"/>
    </row>
    <row r="5" customFormat="false" ht="34.5" hidden="false" customHeight="true" outlineLevel="0" collapsed="false">
      <c r="A5" s="4" t="s">
        <v>3</v>
      </c>
      <c r="B5" s="5" t="s">
        <v>4</v>
      </c>
      <c r="C5" s="5"/>
      <c r="D5" s="5"/>
      <c r="E5" s="5"/>
    </row>
    <row r="6" customFormat="false" ht="34.5" hidden="false" customHeight="true" outlineLevel="0" collapsed="false">
      <c r="A6" s="4" t="s">
        <v>5</v>
      </c>
      <c r="B6" s="5" t="s">
        <v>6</v>
      </c>
      <c r="C6" s="5"/>
      <c r="D6" s="5"/>
      <c r="E6" s="5"/>
    </row>
    <row r="7" customFormat="false" ht="34.5" hidden="false" customHeight="true" outlineLevel="0" collapsed="false">
      <c r="A7" s="4" t="s">
        <v>7</v>
      </c>
      <c r="B7" s="5" t="s">
        <v>8</v>
      </c>
      <c r="C7" s="5"/>
      <c r="D7" s="5"/>
      <c r="E7" s="5"/>
    </row>
    <row r="8" customFormat="false" ht="34.5" hidden="false" customHeight="true" outlineLevel="0" collapsed="false">
      <c r="A8" s="4" t="s">
        <v>9</v>
      </c>
      <c r="B8" s="5" t="s">
        <v>10</v>
      </c>
      <c r="C8" s="5"/>
      <c r="D8" s="5"/>
      <c r="E8" s="5"/>
    </row>
    <row r="9" customFormat="false" ht="34.5" hidden="false" customHeight="true" outlineLevel="0" collapsed="false">
      <c r="A9" s="4" t="s">
        <v>11</v>
      </c>
      <c r="B9" s="5" t="s">
        <v>12</v>
      </c>
      <c r="C9" s="5"/>
      <c r="D9" s="5"/>
      <c r="E9" s="5"/>
    </row>
    <row r="10" customFormat="false" ht="34.5" hidden="false" customHeight="true" outlineLevel="0" collapsed="false">
      <c r="A10" s="4" t="s">
        <v>13</v>
      </c>
      <c r="B10" s="5" t="s">
        <v>14</v>
      </c>
      <c r="C10" s="5"/>
      <c r="D10" s="5"/>
      <c r="E10" s="5"/>
    </row>
    <row r="12" customFormat="false" ht="15" hidden="false" customHeight="false" outlineLevel="0" collapsed="false">
      <c r="A12" s="3" t="s">
        <v>15</v>
      </c>
      <c r="B12" s="3"/>
      <c r="C12" s="3"/>
      <c r="D12" s="3"/>
      <c r="E12" s="3"/>
    </row>
    <row r="13" customFormat="false" ht="30" hidden="false" customHeight="true" outlineLevel="0" collapsed="false">
      <c r="A13" s="4" t="s">
        <v>16</v>
      </c>
      <c r="B13" s="5" t="s">
        <v>17</v>
      </c>
      <c r="C13" s="5"/>
      <c r="D13" s="5"/>
      <c r="E13" s="5"/>
    </row>
    <row r="14" customFormat="false" ht="30" hidden="false" customHeight="true" outlineLevel="0" collapsed="false">
      <c r="A14" s="4" t="s">
        <v>18</v>
      </c>
      <c r="B14" s="5" t="s">
        <v>19</v>
      </c>
      <c r="C14" s="5"/>
      <c r="D14" s="5"/>
      <c r="E14" s="5"/>
    </row>
    <row r="15" customFormat="false" ht="30" hidden="false" customHeight="true" outlineLevel="0" collapsed="false">
      <c r="A15" s="4" t="s">
        <v>20</v>
      </c>
      <c r="B15" s="5" t="s">
        <v>21</v>
      </c>
      <c r="C15" s="5"/>
      <c r="D15" s="5"/>
      <c r="E15" s="5"/>
    </row>
    <row r="16" customFormat="false" ht="30" hidden="false" customHeight="true" outlineLevel="0" collapsed="false">
      <c r="A16" s="4" t="s">
        <v>22</v>
      </c>
      <c r="B16" s="5" t="s">
        <v>23</v>
      </c>
      <c r="C16" s="5"/>
      <c r="D16" s="5"/>
      <c r="E16" s="5"/>
    </row>
    <row r="17" customFormat="false" ht="30" hidden="false" customHeight="true" outlineLevel="0" collapsed="false">
      <c r="A17" s="4" t="s">
        <v>24</v>
      </c>
      <c r="B17" s="5" t="s">
        <v>25</v>
      </c>
      <c r="C17" s="5"/>
      <c r="D17" s="5"/>
      <c r="E17" s="5"/>
    </row>
  </sheetData>
  <mergeCells count="15">
    <mergeCell ref="A1:E1"/>
    <mergeCell ref="A2:E2"/>
    <mergeCell ref="A4:E4"/>
    <mergeCell ref="B5:E5"/>
    <mergeCell ref="B6:E6"/>
    <mergeCell ref="B7:E7"/>
    <mergeCell ref="B8:E8"/>
    <mergeCell ref="B9:E9"/>
    <mergeCell ref="B10:E10"/>
    <mergeCell ref="A12:E12"/>
    <mergeCell ref="B13:E13"/>
    <mergeCell ref="B14:E14"/>
    <mergeCell ref="B15:E15"/>
    <mergeCell ref="B16:E16"/>
    <mergeCell ref="B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5"/>
  </cols>
  <sheetData>
    <row r="1" customFormat="false" ht="19.7" hidden="false" customHeight="false" outlineLevel="0" collapsed="false">
      <c r="A1" s="6" t="s">
        <v>26</v>
      </c>
      <c r="B1" s="6"/>
    </row>
    <row r="2" customFormat="false" ht="15" hidden="false" customHeight="false" outlineLevel="0" collapsed="false">
      <c r="A2" s="7" t="s">
        <v>27</v>
      </c>
      <c r="B2" s="7"/>
    </row>
    <row r="4" customFormat="false" ht="15" hidden="false" customHeight="false" outlineLevel="0" collapsed="false">
      <c r="A4" s="8" t="s">
        <v>28</v>
      </c>
      <c r="B4" s="9" t="s">
        <v>29</v>
      </c>
    </row>
    <row r="5" customFormat="false" ht="15" hidden="false" customHeight="false" outlineLevel="0" collapsed="false">
      <c r="A5" s="8" t="s">
        <v>30</v>
      </c>
      <c r="B5" s="9" t="s">
        <v>31</v>
      </c>
    </row>
    <row r="6" customFormat="false" ht="15" hidden="false" customHeight="false" outlineLevel="0" collapsed="false">
      <c r="A6" s="8" t="s">
        <v>32</v>
      </c>
      <c r="B6" s="9" t="s">
        <v>33</v>
      </c>
    </row>
    <row r="7" customFormat="false" ht="15" hidden="false" customHeight="false" outlineLevel="0" collapsed="false">
      <c r="A7" s="8" t="s">
        <v>34</v>
      </c>
      <c r="B7" s="9" t="s">
        <v>35</v>
      </c>
    </row>
    <row r="8" customFormat="false" ht="15" hidden="false" customHeight="false" outlineLevel="0" collapsed="false">
      <c r="A8" s="8" t="s">
        <v>36</v>
      </c>
      <c r="B8" s="9" t="s">
        <v>35</v>
      </c>
    </row>
    <row r="9" customFormat="false" ht="15" hidden="false" customHeight="false" outlineLevel="0" collapsed="false">
      <c r="A9" s="8" t="s">
        <v>37</v>
      </c>
      <c r="B9" s="9" t="s">
        <v>35</v>
      </c>
    </row>
    <row r="10" customFormat="false" ht="15" hidden="false" customHeight="false" outlineLevel="0" collapsed="false">
      <c r="A10" s="8" t="s">
        <v>38</v>
      </c>
      <c r="B10" s="9" t="s">
        <v>35</v>
      </c>
    </row>
    <row r="11" customFormat="false" ht="15" hidden="false" customHeight="false" outlineLevel="0" collapsed="false">
      <c r="A11" s="8" t="s">
        <v>39</v>
      </c>
      <c r="B11" s="9" t="s">
        <v>35</v>
      </c>
    </row>
    <row r="12" customFormat="false" ht="15" hidden="false" customHeight="false" outlineLevel="0" collapsed="false">
      <c r="A12" s="8" t="s">
        <v>40</v>
      </c>
      <c r="B12" s="9" t="s">
        <v>41</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60"/>
  </cols>
  <sheetData>
    <row r="1" customFormat="false" ht="19.7" hidden="false" customHeight="false" outlineLevel="0" collapsed="false">
      <c r="A1" s="6" t="s">
        <v>42</v>
      </c>
      <c r="B1" s="6"/>
      <c r="C1" s="6"/>
    </row>
    <row r="2" customFormat="false" ht="15" hidden="false" customHeight="false" outlineLevel="0" collapsed="false">
      <c r="A2" s="7" t="s">
        <v>43</v>
      </c>
      <c r="B2" s="7"/>
      <c r="C2" s="7"/>
    </row>
    <row r="4" customFormat="false" ht="15" hidden="false" customHeight="false" outlineLevel="0" collapsed="false">
      <c r="A4" s="10" t="s">
        <v>44</v>
      </c>
      <c r="B4" s="10" t="s">
        <v>45</v>
      </c>
      <c r="C4" s="10" t="s">
        <v>46</v>
      </c>
    </row>
    <row r="5" customFormat="false" ht="15" hidden="false" customHeight="false" outlineLevel="0" collapsed="false">
      <c r="A5" s="11" t="n">
        <v>1</v>
      </c>
      <c r="B5" s="12" t="s">
        <v>45</v>
      </c>
      <c r="C5" s="13" t="s">
        <v>47</v>
      </c>
    </row>
    <row r="6" customFormat="false" ht="15" hidden="false" customHeight="false" outlineLevel="0" collapsed="false">
      <c r="A6" s="11" t="n">
        <v>2</v>
      </c>
      <c r="B6" s="12" t="s">
        <v>45</v>
      </c>
      <c r="C6" s="13" t="s">
        <v>48</v>
      </c>
    </row>
    <row r="7" customFormat="false" ht="15" hidden="false" customHeight="false" outlineLevel="0" collapsed="false">
      <c r="A7" s="11" t="n">
        <v>3</v>
      </c>
      <c r="B7" s="12" t="s">
        <v>45</v>
      </c>
      <c r="C7" s="13" t="s">
        <v>49</v>
      </c>
    </row>
    <row r="8" customFormat="false" ht="15" hidden="false" customHeight="false" outlineLevel="0" collapsed="false">
      <c r="A8" s="11" t="n">
        <v>4</v>
      </c>
      <c r="B8" s="12" t="s">
        <v>45</v>
      </c>
      <c r="C8" s="13" t="s">
        <v>50</v>
      </c>
    </row>
    <row r="9" customFormat="false" ht="15" hidden="false" customHeight="false" outlineLevel="0" collapsed="false">
      <c r="A9" s="11" t="n">
        <v>5</v>
      </c>
      <c r="B9" s="12" t="s">
        <v>45</v>
      </c>
      <c r="C9" s="13" t="s">
        <v>51</v>
      </c>
    </row>
    <row r="10" customFormat="false" ht="15" hidden="false" customHeight="false" outlineLevel="0" collapsed="false">
      <c r="A10" s="11" t="n">
        <v>6</v>
      </c>
      <c r="B10" s="12" t="s">
        <v>45</v>
      </c>
      <c r="C10" s="13" t="s">
        <v>52</v>
      </c>
    </row>
    <row r="11" customFormat="false" ht="15" hidden="false" customHeight="false" outlineLevel="0" collapsed="false">
      <c r="A11" s="11" t="n">
        <v>7</v>
      </c>
      <c r="B11" s="12" t="s">
        <v>45</v>
      </c>
      <c r="C11" s="13" t="s">
        <v>53</v>
      </c>
    </row>
    <row r="12" customFormat="false" ht="15" hidden="false" customHeight="false" outlineLevel="0" collapsed="false">
      <c r="A12" s="11" t="n">
        <v>8</v>
      </c>
      <c r="B12" s="12" t="s">
        <v>45</v>
      </c>
      <c r="C12" s="13" t="s">
        <v>54</v>
      </c>
    </row>
    <row r="13" customFormat="false" ht="15" hidden="false" customHeight="false" outlineLevel="0" collapsed="false">
      <c r="A13" s="11" t="n">
        <v>9</v>
      </c>
      <c r="B13" s="12" t="s">
        <v>45</v>
      </c>
      <c r="C13" s="13" t="s">
        <v>55</v>
      </c>
    </row>
    <row r="14" customFormat="false" ht="15" hidden="false" customHeight="false" outlineLevel="0" collapsed="false">
      <c r="A14" s="11" t="n">
        <v>10</v>
      </c>
      <c r="B14" s="12" t="s">
        <v>45</v>
      </c>
      <c r="C14" s="13" t="s">
        <v>56</v>
      </c>
    </row>
    <row r="15" customFormat="false" ht="15" hidden="false" customHeight="false" outlineLevel="0" collapsed="false">
      <c r="A15" s="11" t="n">
        <v>11</v>
      </c>
      <c r="B15" s="14" t="s">
        <v>57</v>
      </c>
      <c r="C15" s="13" t="s">
        <v>58</v>
      </c>
    </row>
    <row r="16" customFormat="false" ht="15" hidden="false" customHeight="false" outlineLevel="0" collapsed="false">
      <c r="A16" s="11" t="n">
        <v>12</v>
      </c>
      <c r="B16" s="14" t="s">
        <v>57</v>
      </c>
      <c r="C16" s="13" t="s">
        <v>59</v>
      </c>
    </row>
    <row r="17" customFormat="false" ht="15" hidden="false" customHeight="false" outlineLevel="0" collapsed="false">
      <c r="A17" s="11" t="n">
        <v>13</v>
      </c>
      <c r="B17" s="14" t="s">
        <v>57</v>
      </c>
      <c r="C17" s="13" t="s">
        <v>60</v>
      </c>
    </row>
    <row r="18" customFormat="false" ht="15" hidden="false" customHeight="false" outlineLevel="0" collapsed="false">
      <c r="A18" s="11" t="n">
        <v>14</v>
      </c>
      <c r="B18" s="14" t="s">
        <v>57</v>
      </c>
      <c r="C18" s="13" t="s">
        <v>61</v>
      </c>
    </row>
    <row r="19" customFormat="false" ht="15" hidden="false" customHeight="false" outlineLevel="0" collapsed="false">
      <c r="A19" s="11" t="n">
        <v>15</v>
      </c>
      <c r="B19" s="14" t="s">
        <v>57</v>
      </c>
      <c r="C19" s="13" t="s">
        <v>62</v>
      </c>
    </row>
    <row r="20" customFormat="false" ht="15" hidden="false" customHeight="false" outlineLevel="0" collapsed="false">
      <c r="A20" s="11" t="n">
        <v>16</v>
      </c>
      <c r="B20" s="14" t="s">
        <v>57</v>
      </c>
      <c r="C20" s="13" t="s">
        <v>63</v>
      </c>
    </row>
    <row r="21" customFormat="false" ht="15" hidden="false" customHeight="false" outlineLevel="0" collapsed="false">
      <c r="A21" s="11" t="n">
        <v>17</v>
      </c>
      <c r="B21" s="14" t="s">
        <v>57</v>
      </c>
      <c r="C21" s="13" t="s">
        <v>64</v>
      </c>
    </row>
    <row r="22" customFormat="false" ht="15" hidden="false" customHeight="false" outlineLevel="0" collapsed="false">
      <c r="A22" s="11" t="n">
        <v>18</v>
      </c>
      <c r="B22" s="14" t="s">
        <v>57</v>
      </c>
      <c r="C22" s="13" t="s">
        <v>65</v>
      </c>
    </row>
    <row r="23" customFormat="false" ht="15" hidden="false" customHeight="false" outlineLevel="0" collapsed="false">
      <c r="A23" s="11" t="n">
        <v>19</v>
      </c>
      <c r="B23" s="14" t="s">
        <v>57</v>
      </c>
      <c r="C23" s="13" t="s">
        <v>66</v>
      </c>
    </row>
    <row r="24" customFormat="false" ht="15" hidden="false" customHeight="false" outlineLevel="0" collapsed="false">
      <c r="A24" s="11" t="n">
        <v>20</v>
      </c>
      <c r="B24" s="14" t="s">
        <v>57</v>
      </c>
      <c r="C24" s="13" t="s">
        <v>67</v>
      </c>
    </row>
    <row r="25" customFormat="false" ht="15" hidden="false" customHeight="false" outlineLevel="0" collapsed="false">
      <c r="A25" s="11" t="n">
        <v>21</v>
      </c>
      <c r="B25" s="15" t="s">
        <v>68</v>
      </c>
      <c r="C25" s="13" t="s">
        <v>69</v>
      </c>
    </row>
    <row r="26" customFormat="false" ht="15" hidden="false" customHeight="false" outlineLevel="0" collapsed="false">
      <c r="A26" s="11" t="n">
        <v>22</v>
      </c>
      <c r="B26" s="15" t="s">
        <v>68</v>
      </c>
      <c r="C26" s="13" t="s">
        <v>70</v>
      </c>
    </row>
    <row r="27" customFormat="false" ht="15" hidden="false" customHeight="false" outlineLevel="0" collapsed="false">
      <c r="A27" s="11" t="n">
        <v>23</v>
      </c>
      <c r="B27" s="15" t="s">
        <v>68</v>
      </c>
      <c r="C27" s="13" t="s">
        <v>71</v>
      </c>
    </row>
    <row r="28" customFormat="false" ht="15" hidden="false" customHeight="false" outlineLevel="0" collapsed="false">
      <c r="A28" s="11" t="n">
        <v>24</v>
      </c>
      <c r="B28" s="15" t="s">
        <v>68</v>
      </c>
      <c r="C28" s="13" t="s">
        <v>72</v>
      </c>
    </row>
    <row r="29" customFormat="false" ht="15" hidden="false" customHeight="false" outlineLevel="0" collapsed="false">
      <c r="A29" s="11" t="n">
        <v>25</v>
      </c>
      <c r="B29" s="15" t="s">
        <v>68</v>
      </c>
      <c r="C29" s="13" t="s">
        <v>73</v>
      </c>
    </row>
    <row r="30" customFormat="false" ht="15" hidden="false" customHeight="false" outlineLevel="0" collapsed="false">
      <c r="A30" s="11" t="n">
        <v>26</v>
      </c>
      <c r="B30" s="15" t="s">
        <v>68</v>
      </c>
      <c r="C30" s="13" t="s">
        <v>74</v>
      </c>
    </row>
    <row r="31" customFormat="false" ht="15" hidden="false" customHeight="false" outlineLevel="0" collapsed="false">
      <c r="A31" s="11" t="n">
        <v>27</v>
      </c>
      <c r="B31" s="15" t="s">
        <v>68</v>
      </c>
      <c r="C31" s="13" t="s">
        <v>75</v>
      </c>
    </row>
    <row r="32" customFormat="false" ht="15" hidden="false" customHeight="false" outlineLevel="0" collapsed="false">
      <c r="A32" s="11" t="n">
        <v>28</v>
      </c>
      <c r="B32" s="15" t="s">
        <v>68</v>
      </c>
      <c r="C32" s="13" t="s">
        <v>76</v>
      </c>
    </row>
    <row r="33" customFormat="false" ht="15" hidden="false" customHeight="false" outlineLevel="0" collapsed="false">
      <c r="A33" s="11" t="n">
        <v>29</v>
      </c>
      <c r="B33" s="15" t="s">
        <v>68</v>
      </c>
      <c r="C33" s="13" t="s">
        <v>77</v>
      </c>
    </row>
    <row r="34" customFormat="false" ht="15" hidden="false" customHeight="false" outlineLevel="0" collapsed="false">
      <c r="A34" s="11" t="n">
        <v>30</v>
      </c>
      <c r="B34" s="15" t="s">
        <v>68</v>
      </c>
      <c r="C34" s="13" t="s">
        <v>78</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40"/>
    <col collapsed="false" customWidth="true" hidden="false" outlineLevel="0" max="4" min="4" style="0" width="20"/>
    <col collapsed="false" customWidth="true" hidden="false" outlineLevel="0" max="5" min="5" style="0" width="15"/>
    <col collapsed="false" customWidth="true" hidden="false" outlineLevel="0" max="6" min="6" style="0" width="13"/>
    <col collapsed="false" customWidth="true" hidden="false" outlineLevel="0" max="8" min="7" style="0" width="30"/>
  </cols>
  <sheetData>
    <row r="1" customFormat="false" ht="19.7" hidden="false" customHeight="false" outlineLevel="0" collapsed="false">
      <c r="A1" s="6" t="s">
        <v>79</v>
      </c>
      <c r="B1" s="6"/>
      <c r="C1" s="6"/>
      <c r="D1" s="6"/>
      <c r="E1" s="6"/>
      <c r="F1" s="6"/>
      <c r="G1" s="6"/>
      <c r="H1" s="6"/>
    </row>
    <row r="2" customFormat="false" ht="15" hidden="false" customHeight="false" outlineLevel="0" collapsed="false">
      <c r="A2" s="7" t="s">
        <v>80</v>
      </c>
      <c r="B2" s="7"/>
      <c r="C2" s="7"/>
      <c r="D2" s="7"/>
      <c r="E2" s="7"/>
      <c r="F2" s="7"/>
      <c r="G2" s="7"/>
      <c r="H2" s="7"/>
    </row>
    <row r="4" customFormat="false" ht="31.5" hidden="false" customHeight="true" outlineLevel="0" collapsed="false">
      <c r="A4" s="16" t="s">
        <v>44</v>
      </c>
      <c r="B4" s="16" t="s">
        <v>45</v>
      </c>
      <c r="C4" s="16" t="s">
        <v>46</v>
      </c>
      <c r="D4" s="16" t="s">
        <v>81</v>
      </c>
      <c r="E4" s="16" t="s">
        <v>82</v>
      </c>
      <c r="F4" s="16" t="s">
        <v>83</v>
      </c>
      <c r="G4" s="16" t="s">
        <v>84</v>
      </c>
      <c r="H4" s="16" t="s">
        <v>85</v>
      </c>
    </row>
    <row r="5" customFormat="false" ht="15" hidden="false" customHeight="false" outlineLevel="0" collapsed="false">
      <c r="A5" s="11" t="n">
        <v>1</v>
      </c>
      <c r="B5" s="13" t="str">
        <f aca="false">Prompts!B5</f>
        <v>Category</v>
      </c>
      <c r="C5" s="13" t="str">
        <f aca="false">Prompts!C5</f>
        <v>Best [your category] for [target customer]</v>
      </c>
      <c r="D5" s="11" t="s">
        <v>86</v>
      </c>
      <c r="E5" s="17"/>
      <c r="F5" s="17"/>
      <c r="G5" s="17"/>
      <c r="H5" s="17"/>
    </row>
    <row r="6" customFormat="false" ht="15" hidden="false" customHeight="false" outlineLevel="0" collapsed="false">
      <c r="A6" s="11" t="n">
        <v>1</v>
      </c>
      <c r="B6" s="13" t="str">
        <f aca="false">Prompts!B5</f>
        <v>Category</v>
      </c>
      <c r="C6" s="13" t="str">
        <f aca="false">Prompts!C5</f>
        <v>Best [your category] for [target customer]</v>
      </c>
      <c r="D6" s="11" t="s">
        <v>87</v>
      </c>
      <c r="E6" s="17"/>
      <c r="F6" s="17"/>
      <c r="G6" s="17"/>
      <c r="H6" s="17"/>
    </row>
    <row r="7" customFormat="false" ht="15" hidden="false" customHeight="false" outlineLevel="0" collapsed="false">
      <c r="A7" s="11" t="n">
        <v>1</v>
      </c>
      <c r="B7" s="13" t="str">
        <f aca="false">Prompts!B5</f>
        <v>Category</v>
      </c>
      <c r="C7" s="13" t="str">
        <f aca="false">Prompts!C5</f>
        <v>Best [your category] for [target customer]</v>
      </c>
      <c r="D7" s="11" t="s">
        <v>88</v>
      </c>
      <c r="E7" s="17"/>
      <c r="F7" s="17"/>
      <c r="G7" s="17"/>
      <c r="H7" s="17"/>
    </row>
    <row r="8" customFormat="false" ht="15" hidden="false" customHeight="false" outlineLevel="0" collapsed="false">
      <c r="A8" s="11" t="n">
        <v>1</v>
      </c>
      <c r="B8" s="13" t="str">
        <f aca="false">Prompts!B5</f>
        <v>Category</v>
      </c>
      <c r="C8" s="13" t="str">
        <f aca="false">Prompts!C5</f>
        <v>Best [your category] for [target customer]</v>
      </c>
      <c r="D8" s="11" t="s">
        <v>89</v>
      </c>
      <c r="E8" s="17"/>
      <c r="F8" s="17"/>
      <c r="G8" s="17"/>
      <c r="H8" s="17"/>
    </row>
    <row r="9" customFormat="false" ht="15" hidden="false" customHeight="false" outlineLevel="0" collapsed="false">
      <c r="A9" s="11" t="n">
        <v>2</v>
      </c>
      <c r="B9" s="13" t="str">
        <f aca="false">Prompts!B6</f>
        <v>Category</v>
      </c>
      <c r="C9" s="13" t="str">
        <f aca="false">Prompts!C6</f>
        <v>Top [your category] in 2026</v>
      </c>
      <c r="D9" s="11" t="s">
        <v>86</v>
      </c>
      <c r="E9" s="17"/>
      <c r="F9" s="17"/>
      <c r="G9" s="17"/>
      <c r="H9" s="17"/>
    </row>
    <row r="10" customFormat="false" ht="15" hidden="false" customHeight="false" outlineLevel="0" collapsed="false">
      <c r="A10" s="11" t="n">
        <v>2</v>
      </c>
      <c r="B10" s="13" t="str">
        <f aca="false">Prompts!B6</f>
        <v>Category</v>
      </c>
      <c r="C10" s="13" t="str">
        <f aca="false">Prompts!C6</f>
        <v>Top [your category] in 2026</v>
      </c>
      <c r="D10" s="11" t="s">
        <v>87</v>
      </c>
      <c r="E10" s="17"/>
      <c r="F10" s="17"/>
      <c r="G10" s="17"/>
      <c r="H10" s="17"/>
    </row>
    <row r="11" customFormat="false" ht="15" hidden="false" customHeight="false" outlineLevel="0" collapsed="false">
      <c r="A11" s="11" t="n">
        <v>2</v>
      </c>
      <c r="B11" s="13" t="str">
        <f aca="false">Prompts!B6</f>
        <v>Category</v>
      </c>
      <c r="C11" s="13" t="str">
        <f aca="false">Prompts!C6</f>
        <v>Top [your category] in 2026</v>
      </c>
      <c r="D11" s="11" t="s">
        <v>88</v>
      </c>
      <c r="E11" s="17"/>
      <c r="F11" s="17"/>
      <c r="G11" s="17"/>
      <c r="H11" s="17"/>
    </row>
    <row r="12" customFormat="false" ht="15" hidden="false" customHeight="false" outlineLevel="0" collapsed="false">
      <c r="A12" s="11" t="n">
        <v>2</v>
      </c>
      <c r="B12" s="13" t="str">
        <f aca="false">Prompts!B6</f>
        <v>Category</v>
      </c>
      <c r="C12" s="13" t="str">
        <f aca="false">Prompts!C6</f>
        <v>Top [your category] in 2026</v>
      </c>
      <c r="D12" s="11" t="s">
        <v>89</v>
      </c>
      <c r="E12" s="17"/>
      <c r="F12" s="17"/>
      <c r="G12" s="17"/>
      <c r="H12" s="17"/>
    </row>
    <row r="13" customFormat="false" ht="15" hidden="false" customHeight="false" outlineLevel="0" collapsed="false">
      <c r="A13" s="11" t="n">
        <v>3</v>
      </c>
      <c r="B13" s="13" t="str">
        <f aca="false">Prompts!B7</f>
        <v>Category</v>
      </c>
      <c r="C13" s="13" t="str">
        <f aca="false">Prompts!C7</f>
        <v>Best [your category] brands</v>
      </c>
      <c r="D13" s="11" t="s">
        <v>86</v>
      </c>
      <c r="E13" s="17"/>
      <c r="F13" s="17"/>
      <c r="G13" s="17"/>
      <c r="H13" s="17"/>
    </row>
    <row r="14" customFormat="false" ht="15" hidden="false" customHeight="false" outlineLevel="0" collapsed="false">
      <c r="A14" s="11" t="n">
        <v>3</v>
      </c>
      <c r="B14" s="13" t="str">
        <f aca="false">Prompts!B7</f>
        <v>Category</v>
      </c>
      <c r="C14" s="13" t="str">
        <f aca="false">Prompts!C7</f>
        <v>Best [your category] brands</v>
      </c>
      <c r="D14" s="11" t="s">
        <v>87</v>
      </c>
      <c r="E14" s="17"/>
      <c r="F14" s="17"/>
      <c r="G14" s="17"/>
      <c r="H14" s="17"/>
    </row>
    <row r="15" customFormat="false" ht="15" hidden="false" customHeight="false" outlineLevel="0" collapsed="false">
      <c r="A15" s="11" t="n">
        <v>3</v>
      </c>
      <c r="B15" s="13" t="str">
        <f aca="false">Prompts!B7</f>
        <v>Category</v>
      </c>
      <c r="C15" s="13" t="str">
        <f aca="false">Prompts!C7</f>
        <v>Best [your category] brands</v>
      </c>
      <c r="D15" s="11" t="s">
        <v>88</v>
      </c>
      <c r="E15" s="17"/>
      <c r="F15" s="17"/>
      <c r="G15" s="17"/>
      <c r="H15" s="17"/>
    </row>
    <row r="16" customFormat="false" ht="15" hidden="false" customHeight="false" outlineLevel="0" collapsed="false">
      <c r="A16" s="11" t="n">
        <v>3</v>
      </c>
      <c r="B16" s="13" t="str">
        <f aca="false">Prompts!B7</f>
        <v>Category</v>
      </c>
      <c r="C16" s="13" t="str">
        <f aca="false">Prompts!C7</f>
        <v>Best [your category] brands</v>
      </c>
      <c r="D16" s="11" t="s">
        <v>89</v>
      </c>
      <c r="E16" s="17"/>
      <c r="F16" s="17"/>
      <c r="G16" s="17"/>
      <c r="H16" s="17"/>
    </row>
    <row r="17" customFormat="false" ht="15" hidden="false" customHeight="false" outlineLevel="0" collapsed="false">
      <c r="A17" s="11" t="n">
        <v>4</v>
      </c>
      <c r="B17" s="13" t="str">
        <f aca="false">Prompts!B8</f>
        <v>Category</v>
      </c>
      <c r="C17" s="13" t="str">
        <f aca="false">Prompts!C8</f>
        <v>Best [your category] for beginners</v>
      </c>
      <c r="D17" s="11" t="s">
        <v>86</v>
      </c>
      <c r="E17" s="17"/>
      <c r="F17" s="17"/>
      <c r="G17" s="17"/>
      <c r="H17" s="17"/>
    </row>
    <row r="18" customFormat="false" ht="15" hidden="false" customHeight="false" outlineLevel="0" collapsed="false">
      <c r="A18" s="11" t="n">
        <v>4</v>
      </c>
      <c r="B18" s="13" t="str">
        <f aca="false">Prompts!B8</f>
        <v>Category</v>
      </c>
      <c r="C18" s="13" t="str">
        <f aca="false">Prompts!C8</f>
        <v>Best [your category] for beginners</v>
      </c>
      <c r="D18" s="11" t="s">
        <v>87</v>
      </c>
      <c r="E18" s="17"/>
      <c r="F18" s="17"/>
      <c r="G18" s="17"/>
      <c r="H18" s="17"/>
    </row>
    <row r="19" customFormat="false" ht="15" hidden="false" customHeight="false" outlineLevel="0" collapsed="false">
      <c r="A19" s="11" t="n">
        <v>4</v>
      </c>
      <c r="B19" s="13" t="str">
        <f aca="false">Prompts!B8</f>
        <v>Category</v>
      </c>
      <c r="C19" s="13" t="str">
        <f aca="false">Prompts!C8</f>
        <v>Best [your category] for beginners</v>
      </c>
      <c r="D19" s="11" t="s">
        <v>88</v>
      </c>
      <c r="E19" s="17"/>
      <c r="F19" s="17"/>
      <c r="G19" s="17"/>
      <c r="H19" s="17"/>
    </row>
    <row r="20" customFormat="false" ht="15" hidden="false" customHeight="false" outlineLevel="0" collapsed="false">
      <c r="A20" s="11" t="n">
        <v>4</v>
      </c>
      <c r="B20" s="13" t="str">
        <f aca="false">Prompts!B8</f>
        <v>Category</v>
      </c>
      <c r="C20" s="13" t="str">
        <f aca="false">Prompts!C8</f>
        <v>Best [your category] for beginners</v>
      </c>
      <c r="D20" s="11" t="s">
        <v>89</v>
      </c>
      <c r="E20" s="17"/>
      <c r="F20" s="17"/>
      <c r="G20" s="17"/>
      <c r="H20" s="17"/>
    </row>
    <row r="21" customFormat="false" ht="15" hidden="false" customHeight="false" outlineLevel="0" collapsed="false">
      <c r="A21" s="11" t="n">
        <v>5</v>
      </c>
      <c r="B21" s="13" t="str">
        <f aca="false">Prompts!B9</f>
        <v>Category</v>
      </c>
      <c r="C21" s="13" t="str">
        <f aca="false">Prompts!C9</f>
        <v>Best premium [your category]</v>
      </c>
      <c r="D21" s="11" t="s">
        <v>86</v>
      </c>
      <c r="E21" s="17"/>
      <c r="F21" s="17"/>
      <c r="G21" s="17"/>
      <c r="H21" s="17"/>
    </row>
    <row r="22" customFormat="false" ht="15" hidden="false" customHeight="false" outlineLevel="0" collapsed="false">
      <c r="A22" s="11" t="n">
        <v>5</v>
      </c>
      <c r="B22" s="13" t="str">
        <f aca="false">Prompts!B9</f>
        <v>Category</v>
      </c>
      <c r="C22" s="13" t="str">
        <f aca="false">Prompts!C9</f>
        <v>Best premium [your category]</v>
      </c>
      <c r="D22" s="11" t="s">
        <v>87</v>
      </c>
      <c r="E22" s="17"/>
      <c r="F22" s="17"/>
      <c r="G22" s="17"/>
      <c r="H22" s="17"/>
    </row>
    <row r="23" customFormat="false" ht="15" hidden="false" customHeight="false" outlineLevel="0" collapsed="false">
      <c r="A23" s="11" t="n">
        <v>5</v>
      </c>
      <c r="B23" s="13" t="str">
        <f aca="false">Prompts!B9</f>
        <v>Category</v>
      </c>
      <c r="C23" s="13" t="str">
        <f aca="false">Prompts!C9</f>
        <v>Best premium [your category]</v>
      </c>
      <c r="D23" s="11" t="s">
        <v>88</v>
      </c>
      <c r="E23" s="17"/>
      <c r="F23" s="17"/>
      <c r="G23" s="17"/>
      <c r="H23" s="17"/>
    </row>
    <row r="24" customFormat="false" ht="15" hidden="false" customHeight="false" outlineLevel="0" collapsed="false">
      <c r="A24" s="11" t="n">
        <v>5</v>
      </c>
      <c r="B24" s="13" t="str">
        <f aca="false">Prompts!B9</f>
        <v>Category</v>
      </c>
      <c r="C24" s="13" t="str">
        <f aca="false">Prompts!C9</f>
        <v>Best premium [your category]</v>
      </c>
      <c r="D24" s="11" t="s">
        <v>89</v>
      </c>
      <c r="E24" s="17"/>
      <c r="F24" s="17"/>
      <c r="G24" s="17"/>
      <c r="H24" s="17"/>
    </row>
    <row r="25" customFormat="false" ht="15" hidden="false" customHeight="false" outlineLevel="0" collapsed="false">
      <c r="A25" s="11" t="n">
        <v>6</v>
      </c>
      <c r="B25" s="13" t="str">
        <f aca="false">Prompts!B10</f>
        <v>Category</v>
      </c>
      <c r="C25" s="13" t="str">
        <f aca="false">Prompts!C10</f>
        <v>Best affordable [your category]</v>
      </c>
      <c r="D25" s="11" t="s">
        <v>86</v>
      </c>
      <c r="E25" s="17"/>
      <c r="F25" s="17"/>
      <c r="G25" s="17"/>
      <c r="H25" s="17"/>
    </row>
    <row r="26" customFormat="false" ht="15" hidden="false" customHeight="false" outlineLevel="0" collapsed="false">
      <c r="A26" s="11" t="n">
        <v>6</v>
      </c>
      <c r="B26" s="13" t="str">
        <f aca="false">Prompts!B10</f>
        <v>Category</v>
      </c>
      <c r="C26" s="13" t="str">
        <f aca="false">Prompts!C10</f>
        <v>Best affordable [your category]</v>
      </c>
      <c r="D26" s="11" t="s">
        <v>87</v>
      </c>
      <c r="E26" s="17"/>
      <c r="F26" s="17"/>
      <c r="G26" s="17"/>
      <c r="H26" s="17"/>
    </row>
    <row r="27" customFormat="false" ht="15" hidden="false" customHeight="false" outlineLevel="0" collapsed="false">
      <c r="A27" s="11" t="n">
        <v>6</v>
      </c>
      <c r="B27" s="13" t="str">
        <f aca="false">Prompts!B10</f>
        <v>Category</v>
      </c>
      <c r="C27" s="13" t="str">
        <f aca="false">Prompts!C10</f>
        <v>Best affordable [your category]</v>
      </c>
      <c r="D27" s="11" t="s">
        <v>88</v>
      </c>
      <c r="E27" s="17"/>
      <c r="F27" s="17"/>
      <c r="G27" s="17"/>
      <c r="H27" s="17"/>
    </row>
    <row r="28" customFormat="false" ht="15" hidden="false" customHeight="false" outlineLevel="0" collapsed="false">
      <c r="A28" s="11" t="n">
        <v>6</v>
      </c>
      <c r="B28" s="13" t="str">
        <f aca="false">Prompts!B10</f>
        <v>Category</v>
      </c>
      <c r="C28" s="13" t="str">
        <f aca="false">Prompts!C10</f>
        <v>Best affordable [your category]</v>
      </c>
      <c r="D28" s="11" t="s">
        <v>89</v>
      </c>
      <c r="E28" s="17"/>
      <c r="F28" s="17"/>
      <c r="G28" s="17"/>
      <c r="H28" s="17"/>
    </row>
    <row r="29" customFormat="false" ht="15" hidden="false" customHeight="false" outlineLevel="0" collapsed="false">
      <c r="A29" s="11" t="n">
        <v>7</v>
      </c>
      <c r="B29" s="13" t="str">
        <f aca="false">Prompts!B11</f>
        <v>Category</v>
      </c>
      <c r="C29" s="13" t="str">
        <f aca="false">Prompts!C11</f>
        <v>Most popular [your category] right now</v>
      </c>
      <c r="D29" s="11" t="s">
        <v>86</v>
      </c>
      <c r="E29" s="17"/>
      <c r="F29" s="17"/>
      <c r="G29" s="17"/>
      <c r="H29" s="17"/>
    </row>
    <row r="30" customFormat="false" ht="15" hidden="false" customHeight="false" outlineLevel="0" collapsed="false">
      <c r="A30" s="11" t="n">
        <v>7</v>
      </c>
      <c r="B30" s="13" t="str">
        <f aca="false">Prompts!B11</f>
        <v>Category</v>
      </c>
      <c r="C30" s="13" t="str">
        <f aca="false">Prompts!C11</f>
        <v>Most popular [your category] right now</v>
      </c>
      <c r="D30" s="11" t="s">
        <v>87</v>
      </c>
      <c r="E30" s="17"/>
      <c r="F30" s="17"/>
      <c r="G30" s="17"/>
      <c r="H30" s="17"/>
    </row>
    <row r="31" customFormat="false" ht="15" hidden="false" customHeight="false" outlineLevel="0" collapsed="false">
      <c r="A31" s="11" t="n">
        <v>7</v>
      </c>
      <c r="B31" s="13" t="str">
        <f aca="false">Prompts!B11</f>
        <v>Category</v>
      </c>
      <c r="C31" s="13" t="str">
        <f aca="false">Prompts!C11</f>
        <v>Most popular [your category] right now</v>
      </c>
      <c r="D31" s="11" t="s">
        <v>88</v>
      </c>
      <c r="E31" s="17"/>
      <c r="F31" s="17"/>
      <c r="G31" s="17"/>
      <c r="H31" s="17"/>
    </row>
    <row r="32" customFormat="false" ht="15" hidden="false" customHeight="false" outlineLevel="0" collapsed="false">
      <c r="A32" s="11" t="n">
        <v>7</v>
      </c>
      <c r="B32" s="13" t="str">
        <f aca="false">Prompts!B11</f>
        <v>Category</v>
      </c>
      <c r="C32" s="13" t="str">
        <f aca="false">Prompts!C11</f>
        <v>Most popular [your category] right now</v>
      </c>
      <c r="D32" s="11" t="s">
        <v>89</v>
      </c>
      <c r="E32" s="17"/>
      <c r="F32" s="17"/>
      <c r="G32" s="17"/>
      <c r="H32" s="17"/>
    </row>
    <row r="33" customFormat="false" ht="15" hidden="false" customHeight="false" outlineLevel="0" collapsed="false">
      <c r="A33" s="11" t="n">
        <v>8</v>
      </c>
      <c r="B33" s="13" t="str">
        <f aca="false">Prompts!B12</f>
        <v>Category</v>
      </c>
      <c r="C33" s="13" t="str">
        <f aca="false">Prompts!C12</f>
        <v>Best [your category] for [specific use case]</v>
      </c>
      <c r="D33" s="11" t="s">
        <v>86</v>
      </c>
      <c r="E33" s="17"/>
      <c r="F33" s="17"/>
      <c r="G33" s="17"/>
      <c r="H33" s="17"/>
    </row>
    <row r="34" customFormat="false" ht="15" hidden="false" customHeight="false" outlineLevel="0" collapsed="false">
      <c r="A34" s="11" t="n">
        <v>8</v>
      </c>
      <c r="B34" s="13" t="str">
        <f aca="false">Prompts!B12</f>
        <v>Category</v>
      </c>
      <c r="C34" s="13" t="str">
        <f aca="false">Prompts!C12</f>
        <v>Best [your category] for [specific use case]</v>
      </c>
      <c r="D34" s="11" t="s">
        <v>87</v>
      </c>
      <c r="E34" s="17"/>
      <c r="F34" s="17"/>
      <c r="G34" s="17"/>
      <c r="H34" s="17"/>
    </row>
    <row r="35" customFormat="false" ht="15" hidden="false" customHeight="false" outlineLevel="0" collapsed="false">
      <c r="A35" s="11" t="n">
        <v>8</v>
      </c>
      <c r="B35" s="13" t="str">
        <f aca="false">Prompts!B12</f>
        <v>Category</v>
      </c>
      <c r="C35" s="13" t="str">
        <f aca="false">Prompts!C12</f>
        <v>Best [your category] for [specific use case]</v>
      </c>
      <c r="D35" s="11" t="s">
        <v>88</v>
      </c>
      <c r="E35" s="17"/>
      <c r="F35" s="17"/>
      <c r="G35" s="17"/>
      <c r="H35" s="17"/>
    </row>
    <row r="36" customFormat="false" ht="15" hidden="false" customHeight="false" outlineLevel="0" collapsed="false">
      <c r="A36" s="11" t="n">
        <v>8</v>
      </c>
      <c r="B36" s="13" t="str">
        <f aca="false">Prompts!B12</f>
        <v>Category</v>
      </c>
      <c r="C36" s="13" t="str">
        <f aca="false">Prompts!C12</f>
        <v>Best [your category] for [specific use case]</v>
      </c>
      <c r="D36" s="11" t="s">
        <v>89</v>
      </c>
      <c r="E36" s="17"/>
      <c r="F36" s="17"/>
      <c r="G36" s="17"/>
      <c r="H36" s="17"/>
    </row>
    <row r="37" customFormat="false" ht="15" hidden="false" customHeight="false" outlineLevel="0" collapsed="false">
      <c r="A37" s="11" t="n">
        <v>9</v>
      </c>
      <c r="B37" s="13" t="str">
        <f aca="false">Prompts!B13</f>
        <v>Category</v>
      </c>
      <c r="C37" s="13" t="str">
        <f aca="false">Prompts!C13</f>
        <v>Top rated [your category]</v>
      </c>
      <c r="D37" s="11" t="s">
        <v>86</v>
      </c>
      <c r="E37" s="17"/>
      <c r="F37" s="17"/>
      <c r="G37" s="17"/>
      <c r="H37" s="17"/>
    </row>
    <row r="38" customFormat="false" ht="15" hidden="false" customHeight="false" outlineLevel="0" collapsed="false">
      <c r="A38" s="11" t="n">
        <v>9</v>
      </c>
      <c r="B38" s="13" t="str">
        <f aca="false">Prompts!B13</f>
        <v>Category</v>
      </c>
      <c r="C38" s="13" t="str">
        <f aca="false">Prompts!C13</f>
        <v>Top rated [your category]</v>
      </c>
      <c r="D38" s="11" t="s">
        <v>87</v>
      </c>
      <c r="E38" s="17"/>
      <c r="F38" s="17"/>
      <c r="G38" s="17"/>
      <c r="H38" s="17"/>
    </row>
    <row r="39" customFormat="false" ht="15" hidden="false" customHeight="false" outlineLevel="0" collapsed="false">
      <c r="A39" s="11" t="n">
        <v>9</v>
      </c>
      <c r="B39" s="13" t="str">
        <f aca="false">Prompts!B13</f>
        <v>Category</v>
      </c>
      <c r="C39" s="13" t="str">
        <f aca="false">Prompts!C13</f>
        <v>Top rated [your category]</v>
      </c>
      <c r="D39" s="11" t="s">
        <v>88</v>
      </c>
      <c r="E39" s="17"/>
      <c r="F39" s="17"/>
      <c r="G39" s="17"/>
      <c r="H39" s="17"/>
    </row>
    <row r="40" customFormat="false" ht="15" hidden="false" customHeight="false" outlineLevel="0" collapsed="false">
      <c r="A40" s="11" t="n">
        <v>9</v>
      </c>
      <c r="B40" s="13" t="str">
        <f aca="false">Prompts!B13</f>
        <v>Category</v>
      </c>
      <c r="C40" s="13" t="str">
        <f aca="false">Prompts!C13</f>
        <v>Top rated [your category]</v>
      </c>
      <c r="D40" s="11" t="s">
        <v>89</v>
      </c>
      <c r="E40" s="17"/>
      <c r="F40" s="17"/>
      <c r="G40" s="17"/>
      <c r="H40" s="17"/>
    </row>
    <row r="41" customFormat="false" ht="15" hidden="false" customHeight="false" outlineLevel="0" collapsed="false">
      <c r="A41" s="11" t="n">
        <v>10</v>
      </c>
      <c r="B41" s="13" t="str">
        <f aca="false">Prompts!B14</f>
        <v>Category</v>
      </c>
      <c r="C41" s="13" t="str">
        <f aca="false">Prompts!C14</f>
        <v>Best [your category] alternatives to [market leader]</v>
      </c>
      <c r="D41" s="11" t="s">
        <v>86</v>
      </c>
      <c r="E41" s="17"/>
      <c r="F41" s="17"/>
      <c r="G41" s="17"/>
      <c r="H41" s="17"/>
    </row>
    <row r="42" customFormat="false" ht="15" hidden="false" customHeight="false" outlineLevel="0" collapsed="false">
      <c r="A42" s="11" t="n">
        <v>10</v>
      </c>
      <c r="B42" s="13" t="str">
        <f aca="false">Prompts!B14</f>
        <v>Category</v>
      </c>
      <c r="C42" s="13" t="str">
        <f aca="false">Prompts!C14</f>
        <v>Best [your category] alternatives to [market leader]</v>
      </c>
      <c r="D42" s="11" t="s">
        <v>87</v>
      </c>
      <c r="E42" s="17"/>
      <c r="F42" s="17"/>
      <c r="G42" s="17"/>
      <c r="H42" s="17"/>
    </row>
    <row r="43" customFormat="false" ht="15" hidden="false" customHeight="false" outlineLevel="0" collapsed="false">
      <c r="A43" s="11" t="n">
        <v>10</v>
      </c>
      <c r="B43" s="13" t="str">
        <f aca="false">Prompts!B14</f>
        <v>Category</v>
      </c>
      <c r="C43" s="13" t="str">
        <f aca="false">Prompts!C14</f>
        <v>Best [your category] alternatives to [market leader]</v>
      </c>
      <c r="D43" s="11" t="s">
        <v>88</v>
      </c>
      <c r="E43" s="17"/>
      <c r="F43" s="17"/>
      <c r="G43" s="17"/>
      <c r="H43" s="17"/>
    </row>
    <row r="44" customFormat="false" ht="15" hidden="false" customHeight="false" outlineLevel="0" collapsed="false">
      <c r="A44" s="11" t="n">
        <v>10</v>
      </c>
      <c r="B44" s="13" t="str">
        <f aca="false">Prompts!B14</f>
        <v>Category</v>
      </c>
      <c r="C44" s="13" t="str">
        <f aca="false">Prompts!C14</f>
        <v>Best [your category] alternatives to [market leader]</v>
      </c>
      <c r="D44" s="11" t="s">
        <v>89</v>
      </c>
      <c r="E44" s="17"/>
      <c r="F44" s="17"/>
      <c r="G44" s="17"/>
      <c r="H44" s="17"/>
    </row>
    <row r="45" customFormat="false" ht="15" hidden="false" customHeight="false" outlineLevel="0" collapsed="false">
      <c r="A45" s="11" t="n">
        <v>11</v>
      </c>
      <c r="B45" s="13" t="str">
        <f aca="false">Prompts!B15</f>
        <v>Comparison</v>
      </c>
      <c r="C45" s="13" t="str">
        <f aca="false">Prompts!C15</f>
        <v>[Your brand] vs [Competitor 1]</v>
      </c>
      <c r="D45" s="11" t="s">
        <v>86</v>
      </c>
      <c r="E45" s="17"/>
      <c r="F45" s="17"/>
      <c r="G45" s="17"/>
      <c r="H45" s="17"/>
    </row>
    <row r="46" customFormat="false" ht="15" hidden="false" customHeight="false" outlineLevel="0" collapsed="false">
      <c r="A46" s="11" t="n">
        <v>11</v>
      </c>
      <c r="B46" s="13" t="str">
        <f aca="false">Prompts!B15</f>
        <v>Comparison</v>
      </c>
      <c r="C46" s="13" t="str">
        <f aca="false">Prompts!C15</f>
        <v>[Your brand] vs [Competitor 1]</v>
      </c>
      <c r="D46" s="11" t="s">
        <v>87</v>
      </c>
      <c r="E46" s="17"/>
      <c r="F46" s="17"/>
      <c r="G46" s="17"/>
      <c r="H46" s="17"/>
    </row>
    <row r="47" customFormat="false" ht="15" hidden="false" customHeight="false" outlineLevel="0" collapsed="false">
      <c r="A47" s="11" t="n">
        <v>11</v>
      </c>
      <c r="B47" s="13" t="str">
        <f aca="false">Prompts!B15</f>
        <v>Comparison</v>
      </c>
      <c r="C47" s="13" t="str">
        <f aca="false">Prompts!C15</f>
        <v>[Your brand] vs [Competitor 1]</v>
      </c>
      <c r="D47" s="11" t="s">
        <v>88</v>
      </c>
      <c r="E47" s="17"/>
      <c r="F47" s="17"/>
      <c r="G47" s="17"/>
      <c r="H47" s="17"/>
    </row>
    <row r="48" customFormat="false" ht="15" hidden="false" customHeight="false" outlineLevel="0" collapsed="false">
      <c r="A48" s="11" t="n">
        <v>11</v>
      </c>
      <c r="B48" s="13" t="str">
        <f aca="false">Prompts!B15</f>
        <v>Comparison</v>
      </c>
      <c r="C48" s="13" t="str">
        <f aca="false">Prompts!C15</f>
        <v>[Your brand] vs [Competitor 1]</v>
      </c>
      <c r="D48" s="11" t="s">
        <v>89</v>
      </c>
      <c r="E48" s="17"/>
      <c r="F48" s="17"/>
      <c r="G48" s="17"/>
      <c r="H48" s="17"/>
    </row>
    <row r="49" customFormat="false" ht="15" hidden="false" customHeight="false" outlineLevel="0" collapsed="false">
      <c r="A49" s="11" t="n">
        <v>12</v>
      </c>
      <c r="B49" s="13" t="str">
        <f aca="false">Prompts!B16</f>
        <v>Comparison</v>
      </c>
      <c r="C49" s="13" t="str">
        <f aca="false">Prompts!C16</f>
        <v>[Your brand] vs [Competitor 2]</v>
      </c>
      <c r="D49" s="11" t="s">
        <v>86</v>
      </c>
      <c r="E49" s="17"/>
      <c r="F49" s="17"/>
      <c r="G49" s="17"/>
      <c r="H49" s="17"/>
    </row>
    <row r="50" customFormat="false" ht="15" hidden="false" customHeight="false" outlineLevel="0" collapsed="false">
      <c r="A50" s="11" t="n">
        <v>12</v>
      </c>
      <c r="B50" s="13" t="str">
        <f aca="false">Prompts!B16</f>
        <v>Comparison</v>
      </c>
      <c r="C50" s="13" t="str">
        <f aca="false">Prompts!C16</f>
        <v>[Your brand] vs [Competitor 2]</v>
      </c>
      <c r="D50" s="11" t="s">
        <v>87</v>
      </c>
      <c r="E50" s="17"/>
      <c r="F50" s="17"/>
      <c r="G50" s="17"/>
      <c r="H50" s="17"/>
    </row>
    <row r="51" customFormat="false" ht="15" hidden="false" customHeight="false" outlineLevel="0" collapsed="false">
      <c r="A51" s="11" t="n">
        <v>12</v>
      </c>
      <c r="B51" s="13" t="str">
        <f aca="false">Prompts!B16</f>
        <v>Comparison</v>
      </c>
      <c r="C51" s="13" t="str">
        <f aca="false">Prompts!C16</f>
        <v>[Your brand] vs [Competitor 2]</v>
      </c>
      <c r="D51" s="11" t="s">
        <v>88</v>
      </c>
      <c r="E51" s="17"/>
      <c r="F51" s="17"/>
      <c r="G51" s="17"/>
      <c r="H51" s="17"/>
    </row>
    <row r="52" customFormat="false" ht="15" hidden="false" customHeight="false" outlineLevel="0" collapsed="false">
      <c r="A52" s="11" t="n">
        <v>12</v>
      </c>
      <c r="B52" s="13" t="str">
        <f aca="false">Prompts!B16</f>
        <v>Comparison</v>
      </c>
      <c r="C52" s="13" t="str">
        <f aca="false">Prompts!C16</f>
        <v>[Your brand] vs [Competitor 2]</v>
      </c>
      <c r="D52" s="11" t="s">
        <v>89</v>
      </c>
      <c r="E52" s="17"/>
      <c r="F52" s="17"/>
      <c r="G52" s="17"/>
      <c r="H52" s="17"/>
    </row>
    <row r="53" customFormat="false" ht="15" hidden="false" customHeight="false" outlineLevel="0" collapsed="false">
      <c r="A53" s="11" t="n">
        <v>13</v>
      </c>
      <c r="B53" s="13" t="str">
        <f aca="false">Prompts!B17</f>
        <v>Comparison</v>
      </c>
      <c r="C53" s="13" t="str">
        <f aca="false">Prompts!C17</f>
        <v>[Competitor 1] vs [Competitor 2]</v>
      </c>
      <c r="D53" s="11" t="s">
        <v>86</v>
      </c>
      <c r="E53" s="17"/>
      <c r="F53" s="17"/>
      <c r="G53" s="17"/>
      <c r="H53" s="17"/>
    </row>
    <row r="54" customFormat="false" ht="15" hidden="false" customHeight="false" outlineLevel="0" collapsed="false">
      <c r="A54" s="11" t="n">
        <v>13</v>
      </c>
      <c r="B54" s="13" t="str">
        <f aca="false">Prompts!B17</f>
        <v>Comparison</v>
      </c>
      <c r="C54" s="13" t="str">
        <f aca="false">Prompts!C17</f>
        <v>[Competitor 1] vs [Competitor 2]</v>
      </c>
      <c r="D54" s="11" t="s">
        <v>87</v>
      </c>
      <c r="E54" s="17"/>
      <c r="F54" s="17"/>
      <c r="G54" s="17"/>
      <c r="H54" s="17"/>
    </row>
    <row r="55" customFormat="false" ht="15" hidden="false" customHeight="false" outlineLevel="0" collapsed="false">
      <c r="A55" s="11" t="n">
        <v>13</v>
      </c>
      <c r="B55" s="13" t="str">
        <f aca="false">Prompts!B17</f>
        <v>Comparison</v>
      </c>
      <c r="C55" s="13" t="str">
        <f aca="false">Prompts!C17</f>
        <v>[Competitor 1] vs [Competitor 2]</v>
      </c>
      <c r="D55" s="11" t="s">
        <v>88</v>
      </c>
      <c r="E55" s="17"/>
      <c r="F55" s="17"/>
      <c r="G55" s="17"/>
      <c r="H55" s="17"/>
    </row>
    <row r="56" customFormat="false" ht="15" hidden="false" customHeight="false" outlineLevel="0" collapsed="false">
      <c r="A56" s="11" t="n">
        <v>13</v>
      </c>
      <c r="B56" s="13" t="str">
        <f aca="false">Prompts!B17</f>
        <v>Comparison</v>
      </c>
      <c r="C56" s="13" t="str">
        <f aca="false">Prompts!C17</f>
        <v>[Competitor 1] vs [Competitor 2]</v>
      </c>
      <c r="D56" s="11" t="s">
        <v>89</v>
      </c>
      <c r="E56" s="17"/>
      <c r="F56" s="17"/>
      <c r="G56" s="17"/>
      <c r="H56" s="17"/>
    </row>
    <row r="57" customFormat="false" ht="15" hidden="false" customHeight="false" outlineLevel="0" collapsed="false">
      <c r="A57" s="11" t="n">
        <v>14</v>
      </c>
      <c r="B57" s="13" t="str">
        <f aca="false">Prompts!B18</f>
        <v>Comparison</v>
      </c>
      <c r="C57" s="13" t="str">
        <f aca="false">Prompts!C18</f>
        <v>[Competitor 1] vs [Competitor 3]</v>
      </c>
      <c r="D57" s="11" t="s">
        <v>86</v>
      </c>
      <c r="E57" s="17"/>
      <c r="F57" s="17"/>
      <c r="G57" s="17"/>
      <c r="H57" s="17"/>
    </row>
    <row r="58" customFormat="false" ht="15" hidden="false" customHeight="false" outlineLevel="0" collapsed="false">
      <c r="A58" s="11" t="n">
        <v>14</v>
      </c>
      <c r="B58" s="13" t="str">
        <f aca="false">Prompts!B18</f>
        <v>Comparison</v>
      </c>
      <c r="C58" s="13" t="str">
        <f aca="false">Prompts!C18</f>
        <v>[Competitor 1] vs [Competitor 3]</v>
      </c>
      <c r="D58" s="11" t="s">
        <v>87</v>
      </c>
      <c r="E58" s="17"/>
      <c r="F58" s="17"/>
      <c r="G58" s="17"/>
      <c r="H58" s="17"/>
    </row>
    <row r="59" customFormat="false" ht="15" hidden="false" customHeight="false" outlineLevel="0" collapsed="false">
      <c r="A59" s="11" t="n">
        <v>14</v>
      </c>
      <c r="B59" s="13" t="str">
        <f aca="false">Prompts!B18</f>
        <v>Comparison</v>
      </c>
      <c r="C59" s="13" t="str">
        <f aca="false">Prompts!C18</f>
        <v>[Competitor 1] vs [Competitor 3]</v>
      </c>
      <c r="D59" s="11" t="s">
        <v>88</v>
      </c>
      <c r="E59" s="17"/>
      <c r="F59" s="17"/>
      <c r="G59" s="17"/>
      <c r="H59" s="17"/>
    </row>
    <row r="60" customFormat="false" ht="15" hidden="false" customHeight="false" outlineLevel="0" collapsed="false">
      <c r="A60" s="11" t="n">
        <v>14</v>
      </c>
      <c r="B60" s="13" t="str">
        <f aca="false">Prompts!B18</f>
        <v>Comparison</v>
      </c>
      <c r="C60" s="13" t="str">
        <f aca="false">Prompts!C18</f>
        <v>[Competitor 1] vs [Competitor 3]</v>
      </c>
      <c r="D60" s="11" t="s">
        <v>89</v>
      </c>
      <c r="E60" s="17"/>
      <c r="F60" s="17"/>
      <c r="G60" s="17"/>
      <c r="H60" s="17"/>
    </row>
    <row r="61" customFormat="false" ht="15" hidden="false" customHeight="false" outlineLevel="0" collapsed="false">
      <c r="A61" s="11" t="n">
        <v>15</v>
      </c>
      <c r="B61" s="13" t="str">
        <f aca="false">Prompts!B19</f>
        <v>Comparison</v>
      </c>
      <c r="C61" s="13" t="str">
        <f aca="false">Prompts!C19</f>
        <v>Best alternative to [Competitor 1]</v>
      </c>
      <c r="D61" s="11" t="s">
        <v>86</v>
      </c>
      <c r="E61" s="17"/>
      <c r="F61" s="17"/>
      <c r="G61" s="17"/>
      <c r="H61" s="17"/>
    </row>
    <row r="62" customFormat="false" ht="15" hidden="false" customHeight="false" outlineLevel="0" collapsed="false">
      <c r="A62" s="11" t="n">
        <v>15</v>
      </c>
      <c r="B62" s="13" t="str">
        <f aca="false">Prompts!B19</f>
        <v>Comparison</v>
      </c>
      <c r="C62" s="13" t="str">
        <f aca="false">Prompts!C19</f>
        <v>Best alternative to [Competitor 1]</v>
      </c>
      <c r="D62" s="11" t="s">
        <v>87</v>
      </c>
      <c r="E62" s="17"/>
      <c r="F62" s="17"/>
      <c r="G62" s="17"/>
      <c r="H62" s="17"/>
    </row>
    <row r="63" customFormat="false" ht="15" hidden="false" customHeight="false" outlineLevel="0" collapsed="false">
      <c r="A63" s="11" t="n">
        <v>15</v>
      </c>
      <c r="B63" s="13" t="str">
        <f aca="false">Prompts!B19</f>
        <v>Comparison</v>
      </c>
      <c r="C63" s="13" t="str">
        <f aca="false">Prompts!C19</f>
        <v>Best alternative to [Competitor 1]</v>
      </c>
      <c r="D63" s="11" t="s">
        <v>88</v>
      </c>
      <c r="E63" s="17"/>
      <c r="F63" s="17"/>
      <c r="G63" s="17"/>
      <c r="H63" s="17"/>
    </row>
    <row r="64" customFormat="false" ht="15" hidden="false" customHeight="false" outlineLevel="0" collapsed="false">
      <c r="A64" s="11" t="n">
        <v>15</v>
      </c>
      <c r="B64" s="13" t="str">
        <f aca="false">Prompts!B19</f>
        <v>Comparison</v>
      </c>
      <c r="C64" s="13" t="str">
        <f aca="false">Prompts!C19</f>
        <v>Best alternative to [Competitor 1]</v>
      </c>
      <c r="D64" s="11" t="s">
        <v>89</v>
      </c>
      <c r="E64" s="17"/>
      <c r="F64" s="17"/>
      <c r="G64" s="17"/>
      <c r="H64" s="17"/>
    </row>
    <row r="65" customFormat="false" ht="15" hidden="false" customHeight="false" outlineLevel="0" collapsed="false">
      <c r="A65" s="11" t="n">
        <v>16</v>
      </c>
      <c r="B65" s="13" t="str">
        <f aca="false">Prompts!B20</f>
        <v>Comparison</v>
      </c>
      <c r="C65" s="13" t="str">
        <f aca="false">Prompts!C20</f>
        <v>Best alternative to [Competitor 2]</v>
      </c>
      <c r="D65" s="11" t="s">
        <v>86</v>
      </c>
      <c r="E65" s="17"/>
      <c r="F65" s="17"/>
      <c r="G65" s="17"/>
      <c r="H65" s="17"/>
    </row>
    <row r="66" customFormat="false" ht="15" hidden="false" customHeight="false" outlineLevel="0" collapsed="false">
      <c r="A66" s="11" t="n">
        <v>16</v>
      </c>
      <c r="B66" s="13" t="str">
        <f aca="false">Prompts!B20</f>
        <v>Comparison</v>
      </c>
      <c r="C66" s="13" t="str">
        <f aca="false">Prompts!C20</f>
        <v>Best alternative to [Competitor 2]</v>
      </c>
      <c r="D66" s="11" t="s">
        <v>87</v>
      </c>
      <c r="E66" s="17"/>
      <c r="F66" s="17"/>
      <c r="G66" s="17"/>
      <c r="H66" s="17"/>
    </row>
    <row r="67" customFormat="false" ht="15" hidden="false" customHeight="false" outlineLevel="0" collapsed="false">
      <c r="A67" s="11" t="n">
        <v>16</v>
      </c>
      <c r="B67" s="13" t="str">
        <f aca="false">Prompts!B20</f>
        <v>Comparison</v>
      </c>
      <c r="C67" s="13" t="str">
        <f aca="false">Prompts!C20</f>
        <v>Best alternative to [Competitor 2]</v>
      </c>
      <c r="D67" s="11" t="s">
        <v>88</v>
      </c>
      <c r="E67" s="17"/>
      <c r="F67" s="17"/>
      <c r="G67" s="17"/>
      <c r="H67" s="17"/>
    </row>
    <row r="68" customFormat="false" ht="15" hidden="false" customHeight="false" outlineLevel="0" collapsed="false">
      <c r="A68" s="11" t="n">
        <v>16</v>
      </c>
      <c r="B68" s="13" t="str">
        <f aca="false">Prompts!B20</f>
        <v>Comparison</v>
      </c>
      <c r="C68" s="13" t="str">
        <f aca="false">Prompts!C20</f>
        <v>Best alternative to [Competitor 2]</v>
      </c>
      <c r="D68" s="11" t="s">
        <v>89</v>
      </c>
      <c r="E68" s="17"/>
      <c r="F68" s="17"/>
      <c r="G68" s="17"/>
      <c r="H68" s="17"/>
    </row>
    <row r="69" customFormat="false" ht="15" hidden="false" customHeight="false" outlineLevel="0" collapsed="false">
      <c r="A69" s="11" t="n">
        <v>17</v>
      </c>
      <c r="B69" s="13" t="str">
        <f aca="false">Prompts!B21</f>
        <v>Comparison</v>
      </c>
      <c r="C69" s="13" t="str">
        <f aca="false">Prompts!C21</f>
        <v>Is [Competitor 1] worth it</v>
      </c>
      <c r="D69" s="11" t="s">
        <v>86</v>
      </c>
      <c r="E69" s="17"/>
      <c r="F69" s="17"/>
      <c r="G69" s="17"/>
      <c r="H69" s="17"/>
    </row>
    <row r="70" customFormat="false" ht="15" hidden="false" customHeight="false" outlineLevel="0" collapsed="false">
      <c r="A70" s="11" t="n">
        <v>17</v>
      </c>
      <c r="B70" s="13" t="str">
        <f aca="false">Prompts!B21</f>
        <v>Comparison</v>
      </c>
      <c r="C70" s="13" t="str">
        <f aca="false">Prompts!C21</f>
        <v>Is [Competitor 1] worth it</v>
      </c>
      <c r="D70" s="11" t="s">
        <v>87</v>
      </c>
      <c r="E70" s="17"/>
      <c r="F70" s="17"/>
      <c r="G70" s="17"/>
      <c r="H70" s="17"/>
    </row>
    <row r="71" customFormat="false" ht="15" hidden="false" customHeight="false" outlineLevel="0" collapsed="false">
      <c r="A71" s="11" t="n">
        <v>17</v>
      </c>
      <c r="B71" s="13" t="str">
        <f aca="false">Prompts!B21</f>
        <v>Comparison</v>
      </c>
      <c r="C71" s="13" t="str">
        <f aca="false">Prompts!C21</f>
        <v>Is [Competitor 1] worth it</v>
      </c>
      <c r="D71" s="11" t="s">
        <v>88</v>
      </c>
      <c r="E71" s="17"/>
      <c r="F71" s="17"/>
      <c r="G71" s="17"/>
      <c r="H71" s="17"/>
    </row>
    <row r="72" customFormat="false" ht="15" hidden="false" customHeight="false" outlineLevel="0" collapsed="false">
      <c r="A72" s="11" t="n">
        <v>17</v>
      </c>
      <c r="B72" s="13" t="str">
        <f aca="false">Prompts!B21</f>
        <v>Comparison</v>
      </c>
      <c r="C72" s="13" t="str">
        <f aca="false">Prompts!C21</f>
        <v>Is [Competitor 1] worth it</v>
      </c>
      <c r="D72" s="11" t="s">
        <v>89</v>
      </c>
      <c r="E72" s="17"/>
      <c r="F72" s="17"/>
      <c r="G72" s="17"/>
      <c r="H72" s="17"/>
    </row>
    <row r="73" customFormat="false" ht="15" hidden="false" customHeight="false" outlineLevel="0" collapsed="false">
      <c r="A73" s="11" t="n">
        <v>18</v>
      </c>
      <c r="B73" s="13" t="str">
        <f aca="false">Prompts!B22</f>
        <v>Comparison</v>
      </c>
      <c r="C73" s="13" t="str">
        <f aca="false">Prompts!C22</f>
        <v>[Your brand] review</v>
      </c>
      <c r="D73" s="11" t="s">
        <v>86</v>
      </c>
      <c r="E73" s="17"/>
      <c r="F73" s="17"/>
      <c r="G73" s="17"/>
      <c r="H73" s="17"/>
    </row>
    <row r="74" customFormat="false" ht="15" hidden="false" customHeight="false" outlineLevel="0" collapsed="false">
      <c r="A74" s="11" t="n">
        <v>18</v>
      </c>
      <c r="B74" s="13" t="str">
        <f aca="false">Prompts!B22</f>
        <v>Comparison</v>
      </c>
      <c r="C74" s="13" t="str">
        <f aca="false">Prompts!C22</f>
        <v>[Your brand] review</v>
      </c>
      <c r="D74" s="11" t="s">
        <v>87</v>
      </c>
      <c r="E74" s="17"/>
      <c r="F74" s="17"/>
      <c r="G74" s="17"/>
      <c r="H74" s="17"/>
    </row>
    <row r="75" customFormat="false" ht="15" hidden="false" customHeight="false" outlineLevel="0" collapsed="false">
      <c r="A75" s="11" t="n">
        <v>18</v>
      </c>
      <c r="B75" s="13" t="str">
        <f aca="false">Prompts!B22</f>
        <v>Comparison</v>
      </c>
      <c r="C75" s="13" t="str">
        <f aca="false">Prompts!C22</f>
        <v>[Your brand] review</v>
      </c>
      <c r="D75" s="11" t="s">
        <v>88</v>
      </c>
      <c r="E75" s="17"/>
      <c r="F75" s="17"/>
      <c r="G75" s="17"/>
      <c r="H75" s="17"/>
    </row>
    <row r="76" customFormat="false" ht="15" hidden="false" customHeight="false" outlineLevel="0" collapsed="false">
      <c r="A76" s="11" t="n">
        <v>18</v>
      </c>
      <c r="B76" s="13" t="str">
        <f aca="false">Prompts!B22</f>
        <v>Comparison</v>
      </c>
      <c r="C76" s="13" t="str">
        <f aca="false">Prompts!C22</f>
        <v>[Your brand] review</v>
      </c>
      <c r="D76" s="11" t="s">
        <v>89</v>
      </c>
      <c r="E76" s="17"/>
      <c r="F76" s="17"/>
      <c r="G76" s="17"/>
      <c r="H76" s="17"/>
    </row>
    <row r="77" customFormat="false" ht="15" hidden="false" customHeight="false" outlineLevel="0" collapsed="false">
      <c r="A77" s="11" t="n">
        <v>19</v>
      </c>
      <c r="B77" s="13" t="str">
        <f aca="false">Prompts!B23</f>
        <v>Comparison</v>
      </c>
      <c r="C77" s="13" t="str">
        <f aca="false">Prompts!C23</f>
        <v>[Competitor 1] review</v>
      </c>
      <c r="D77" s="11" t="s">
        <v>86</v>
      </c>
      <c r="E77" s="17"/>
      <c r="F77" s="17"/>
      <c r="G77" s="17"/>
      <c r="H77" s="17"/>
    </row>
    <row r="78" customFormat="false" ht="15" hidden="false" customHeight="false" outlineLevel="0" collapsed="false">
      <c r="A78" s="11" t="n">
        <v>19</v>
      </c>
      <c r="B78" s="13" t="str">
        <f aca="false">Prompts!B23</f>
        <v>Comparison</v>
      </c>
      <c r="C78" s="13" t="str">
        <f aca="false">Prompts!C23</f>
        <v>[Competitor 1] review</v>
      </c>
      <c r="D78" s="11" t="s">
        <v>87</v>
      </c>
      <c r="E78" s="17"/>
      <c r="F78" s="17"/>
      <c r="G78" s="17"/>
      <c r="H78" s="17"/>
    </row>
    <row r="79" customFormat="false" ht="15" hidden="false" customHeight="false" outlineLevel="0" collapsed="false">
      <c r="A79" s="11" t="n">
        <v>19</v>
      </c>
      <c r="B79" s="13" t="str">
        <f aca="false">Prompts!B23</f>
        <v>Comparison</v>
      </c>
      <c r="C79" s="13" t="str">
        <f aca="false">Prompts!C23</f>
        <v>[Competitor 1] review</v>
      </c>
      <c r="D79" s="11" t="s">
        <v>88</v>
      </c>
      <c r="E79" s="17"/>
      <c r="F79" s="17"/>
      <c r="G79" s="17"/>
      <c r="H79" s="17"/>
    </row>
    <row r="80" customFormat="false" ht="15" hidden="false" customHeight="false" outlineLevel="0" collapsed="false">
      <c r="A80" s="11" t="n">
        <v>19</v>
      </c>
      <c r="B80" s="13" t="str">
        <f aca="false">Prompts!B23</f>
        <v>Comparison</v>
      </c>
      <c r="C80" s="13" t="str">
        <f aca="false">Prompts!C23</f>
        <v>[Competitor 1] review</v>
      </c>
      <c r="D80" s="11" t="s">
        <v>89</v>
      </c>
      <c r="E80" s="17"/>
      <c r="F80" s="17"/>
      <c r="G80" s="17"/>
      <c r="H80" s="17"/>
    </row>
    <row r="81" customFormat="false" ht="15" hidden="false" customHeight="false" outlineLevel="0" collapsed="false">
      <c r="A81" s="11" t="n">
        <v>20</v>
      </c>
      <c r="B81" s="13" t="str">
        <f aca="false">Prompts!B24</f>
        <v>Comparison</v>
      </c>
      <c r="C81" s="13" t="str">
        <f aca="false">Prompts!C24</f>
        <v>[Your brand] vs [Competitor 1] for [use case]</v>
      </c>
      <c r="D81" s="11" t="s">
        <v>86</v>
      </c>
      <c r="E81" s="17"/>
      <c r="F81" s="17"/>
      <c r="G81" s="17"/>
      <c r="H81" s="17"/>
    </row>
    <row r="82" customFormat="false" ht="15" hidden="false" customHeight="false" outlineLevel="0" collapsed="false">
      <c r="A82" s="11" t="n">
        <v>20</v>
      </c>
      <c r="B82" s="13" t="str">
        <f aca="false">Prompts!B24</f>
        <v>Comparison</v>
      </c>
      <c r="C82" s="13" t="str">
        <f aca="false">Prompts!C24</f>
        <v>[Your brand] vs [Competitor 1] for [use case]</v>
      </c>
      <c r="D82" s="11" t="s">
        <v>87</v>
      </c>
      <c r="E82" s="17"/>
      <c r="F82" s="17"/>
      <c r="G82" s="17"/>
      <c r="H82" s="17"/>
    </row>
    <row r="83" customFormat="false" ht="15" hidden="false" customHeight="false" outlineLevel="0" collapsed="false">
      <c r="A83" s="11" t="n">
        <v>20</v>
      </c>
      <c r="B83" s="13" t="str">
        <f aca="false">Prompts!B24</f>
        <v>Comparison</v>
      </c>
      <c r="C83" s="13" t="str">
        <f aca="false">Prompts!C24</f>
        <v>[Your brand] vs [Competitor 1] for [use case]</v>
      </c>
      <c r="D83" s="11" t="s">
        <v>88</v>
      </c>
      <c r="E83" s="17"/>
      <c r="F83" s="17"/>
      <c r="G83" s="17"/>
      <c r="H83" s="17"/>
    </row>
    <row r="84" customFormat="false" ht="15" hidden="false" customHeight="false" outlineLevel="0" collapsed="false">
      <c r="A84" s="11" t="n">
        <v>20</v>
      </c>
      <c r="B84" s="13" t="str">
        <f aca="false">Prompts!B24</f>
        <v>Comparison</v>
      </c>
      <c r="C84" s="13" t="str">
        <f aca="false">Prompts!C24</f>
        <v>[Your brand] vs [Competitor 1] for [use case]</v>
      </c>
      <c r="D84" s="11" t="s">
        <v>89</v>
      </c>
      <c r="E84" s="17"/>
      <c r="F84" s="17"/>
      <c r="G84" s="17"/>
      <c r="H84" s="17"/>
    </row>
    <row r="85" customFormat="false" ht="15" hidden="false" customHeight="false" outlineLevel="0" collapsed="false">
      <c r="A85" s="11" t="n">
        <v>21</v>
      </c>
      <c r="B85" s="13" t="str">
        <f aca="false">Prompts!B25</f>
        <v>Problem-Solution</v>
      </c>
      <c r="C85" s="13" t="str">
        <f aca="false">Prompts!C25</f>
        <v>What should I use for [customer problem]</v>
      </c>
      <c r="D85" s="11" t="s">
        <v>86</v>
      </c>
      <c r="E85" s="17"/>
      <c r="F85" s="17"/>
      <c r="G85" s="17"/>
      <c r="H85" s="17"/>
    </row>
    <row r="86" customFormat="false" ht="15" hidden="false" customHeight="false" outlineLevel="0" collapsed="false">
      <c r="A86" s="11" t="n">
        <v>21</v>
      </c>
      <c r="B86" s="13" t="str">
        <f aca="false">Prompts!B25</f>
        <v>Problem-Solution</v>
      </c>
      <c r="C86" s="13" t="str">
        <f aca="false">Prompts!C25</f>
        <v>What should I use for [customer problem]</v>
      </c>
      <c r="D86" s="11" t="s">
        <v>87</v>
      </c>
      <c r="E86" s="17"/>
      <c r="F86" s="17"/>
      <c r="G86" s="17"/>
      <c r="H86" s="17"/>
    </row>
    <row r="87" customFormat="false" ht="15" hidden="false" customHeight="false" outlineLevel="0" collapsed="false">
      <c r="A87" s="11" t="n">
        <v>21</v>
      </c>
      <c r="B87" s="13" t="str">
        <f aca="false">Prompts!B25</f>
        <v>Problem-Solution</v>
      </c>
      <c r="C87" s="13" t="str">
        <f aca="false">Prompts!C25</f>
        <v>What should I use for [customer problem]</v>
      </c>
      <c r="D87" s="11" t="s">
        <v>88</v>
      </c>
      <c r="E87" s="17"/>
      <c r="F87" s="17"/>
      <c r="G87" s="17"/>
      <c r="H87" s="17"/>
    </row>
    <row r="88" customFormat="false" ht="15" hidden="false" customHeight="false" outlineLevel="0" collapsed="false">
      <c r="A88" s="11" t="n">
        <v>21</v>
      </c>
      <c r="B88" s="13" t="str">
        <f aca="false">Prompts!B25</f>
        <v>Problem-Solution</v>
      </c>
      <c r="C88" s="13" t="str">
        <f aca="false">Prompts!C25</f>
        <v>What should I use for [customer problem]</v>
      </c>
      <c r="D88" s="11" t="s">
        <v>89</v>
      </c>
      <c r="E88" s="17"/>
      <c r="F88" s="17"/>
      <c r="G88" s="17"/>
      <c r="H88" s="17"/>
    </row>
    <row r="89" customFormat="false" ht="15" hidden="false" customHeight="false" outlineLevel="0" collapsed="false">
      <c r="A89" s="11" t="n">
        <v>22</v>
      </c>
      <c r="B89" s="13" t="str">
        <f aca="false">Prompts!B26</f>
        <v>Problem-Solution</v>
      </c>
      <c r="C89" s="13" t="str">
        <f aca="false">Prompts!C26</f>
        <v>How do I [achieve customer outcome]</v>
      </c>
      <c r="D89" s="11" t="s">
        <v>86</v>
      </c>
      <c r="E89" s="17"/>
      <c r="F89" s="17"/>
      <c r="G89" s="17"/>
      <c r="H89" s="17"/>
    </row>
    <row r="90" customFormat="false" ht="15" hidden="false" customHeight="false" outlineLevel="0" collapsed="false">
      <c r="A90" s="11" t="n">
        <v>22</v>
      </c>
      <c r="B90" s="13" t="str">
        <f aca="false">Prompts!B26</f>
        <v>Problem-Solution</v>
      </c>
      <c r="C90" s="13" t="str">
        <f aca="false">Prompts!C26</f>
        <v>How do I [achieve customer outcome]</v>
      </c>
      <c r="D90" s="11" t="s">
        <v>87</v>
      </c>
      <c r="E90" s="17"/>
      <c r="F90" s="17"/>
      <c r="G90" s="17"/>
      <c r="H90" s="17"/>
    </row>
    <row r="91" customFormat="false" ht="15" hidden="false" customHeight="false" outlineLevel="0" collapsed="false">
      <c r="A91" s="11" t="n">
        <v>22</v>
      </c>
      <c r="B91" s="13" t="str">
        <f aca="false">Prompts!B26</f>
        <v>Problem-Solution</v>
      </c>
      <c r="C91" s="13" t="str">
        <f aca="false">Prompts!C26</f>
        <v>How do I [achieve customer outcome]</v>
      </c>
      <c r="D91" s="11" t="s">
        <v>88</v>
      </c>
      <c r="E91" s="17"/>
      <c r="F91" s="17"/>
      <c r="G91" s="17"/>
      <c r="H91" s="17"/>
    </row>
    <row r="92" customFormat="false" ht="15" hidden="false" customHeight="false" outlineLevel="0" collapsed="false">
      <c r="A92" s="11" t="n">
        <v>22</v>
      </c>
      <c r="B92" s="13" t="str">
        <f aca="false">Prompts!B26</f>
        <v>Problem-Solution</v>
      </c>
      <c r="C92" s="13" t="str">
        <f aca="false">Prompts!C26</f>
        <v>How do I [achieve customer outcome]</v>
      </c>
      <c r="D92" s="11" t="s">
        <v>89</v>
      </c>
      <c r="E92" s="17"/>
      <c r="F92" s="17"/>
      <c r="G92" s="17"/>
      <c r="H92" s="17"/>
    </row>
    <row r="93" customFormat="false" ht="15" hidden="false" customHeight="false" outlineLevel="0" collapsed="false">
      <c r="A93" s="11" t="n">
        <v>23</v>
      </c>
      <c r="B93" s="13" t="str">
        <f aca="false">Prompts!B27</f>
        <v>Problem-Solution</v>
      </c>
      <c r="C93" s="13" t="str">
        <f aca="false">Prompts!C27</f>
        <v>Best tool for [specific situation]</v>
      </c>
      <c r="D93" s="11" t="s">
        <v>86</v>
      </c>
      <c r="E93" s="17"/>
      <c r="F93" s="17"/>
      <c r="G93" s="17"/>
      <c r="H93" s="17"/>
    </row>
    <row r="94" customFormat="false" ht="15" hidden="false" customHeight="false" outlineLevel="0" collapsed="false">
      <c r="A94" s="11" t="n">
        <v>23</v>
      </c>
      <c r="B94" s="13" t="str">
        <f aca="false">Prompts!B27</f>
        <v>Problem-Solution</v>
      </c>
      <c r="C94" s="13" t="str">
        <f aca="false">Prompts!C27</f>
        <v>Best tool for [specific situation]</v>
      </c>
      <c r="D94" s="11" t="s">
        <v>87</v>
      </c>
      <c r="E94" s="17"/>
      <c r="F94" s="17"/>
      <c r="G94" s="17"/>
      <c r="H94" s="17"/>
    </row>
    <row r="95" customFormat="false" ht="15" hidden="false" customHeight="false" outlineLevel="0" collapsed="false">
      <c r="A95" s="11" t="n">
        <v>23</v>
      </c>
      <c r="B95" s="13" t="str">
        <f aca="false">Prompts!B27</f>
        <v>Problem-Solution</v>
      </c>
      <c r="C95" s="13" t="str">
        <f aca="false">Prompts!C27</f>
        <v>Best tool for [specific situation]</v>
      </c>
      <c r="D95" s="11" t="s">
        <v>88</v>
      </c>
      <c r="E95" s="17"/>
      <c r="F95" s="17"/>
      <c r="G95" s="17"/>
      <c r="H95" s="17"/>
    </row>
    <row r="96" customFormat="false" ht="15" hidden="false" customHeight="false" outlineLevel="0" collapsed="false">
      <c r="A96" s="11" t="n">
        <v>23</v>
      </c>
      <c r="B96" s="13" t="str">
        <f aca="false">Prompts!B27</f>
        <v>Problem-Solution</v>
      </c>
      <c r="C96" s="13" t="str">
        <f aca="false">Prompts!C27</f>
        <v>Best tool for [specific situation]</v>
      </c>
      <c r="D96" s="11" t="s">
        <v>89</v>
      </c>
      <c r="E96" s="17"/>
      <c r="F96" s="17"/>
      <c r="G96" s="17"/>
      <c r="H96" s="17"/>
    </row>
    <row r="97" customFormat="false" ht="15" hidden="false" customHeight="false" outlineLevel="0" collapsed="false">
      <c r="A97" s="11" t="n">
        <v>24</v>
      </c>
      <c r="B97" s="13" t="str">
        <f aca="false">Prompts!B28</f>
        <v>Problem-Solution</v>
      </c>
      <c r="C97" s="13" t="str">
        <f aca="false">Prompts!C28</f>
        <v>What [your category] works for [specific need]</v>
      </c>
      <c r="D97" s="11" t="s">
        <v>86</v>
      </c>
      <c r="E97" s="17"/>
      <c r="F97" s="17"/>
      <c r="G97" s="17"/>
      <c r="H97" s="17"/>
    </row>
    <row r="98" customFormat="false" ht="15" hidden="false" customHeight="false" outlineLevel="0" collapsed="false">
      <c r="A98" s="11" t="n">
        <v>24</v>
      </c>
      <c r="B98" s="13" t="str">
        <f aca="false">Prompts!B28</f>
        <v>Problem-Solution</v>
      </c>
      <c r="C98" s="13" t="str">
        <f aca="false">Prompts!C28</f>
        <v>What [your category] works for [specific need]</v>
      </c>
      <c r="D98" s="11" t="s">
        <v>87</v>
      </c>
      <c r="E98" s="17"/>
      <c r="F98" s="17"/>
      <c r="G98" s="17"/>
      <c r="H98" s="17"/>
    </row>
    <row r="99" customFormat="false" ht="15" hidden="false" customHeight="false" outlineLevel="0" collapsed="false">
      <c r="A99" s="11" t="n">
        <v>24</v>
      </c>
      <c r="B99" s="13" t="str">
        <f aca="false">Prompts!B28</f>
        <v>Problem-Solution</v>
      </c>
      <c r="C99" s="13" t="str">
        <f aca="false">Prompts!C28</f>
        <v>What [your category] works for [specific need]</v>
      </c>
      <c r="D99" s="11" t="s">
        <v>88</v>
      </c>
      <c r="E99" s="17"/>
      <c r="F99" s="17"/>
      <c r="G99" s="17"/>
      <c r="H99" s="17"/>
    </row>
    <row r="100" customFormat="false" ht="15" hidden="false" customHeight="false" outlineLevel="0" collapsed="false">
      <c r="A100" s="11" t="n">
        <v>24</v>
      </c>
      <c r="B100" s="13" t="str">
        <f aca="false">Prompts!B28</f>
        <v>Problem-Solution</v>
      </c>
      <c r="C100" s="13" t="str">
        <f aca="false">Prompts!C28</f>
        <v>What [your category] works for [specific need]</v>
      </c>
      <c r="D100" s="11" t="s">
        <v>89</v>
      </c>
      <c r="E100" s="17"/>
      <c r="F100" s="17"/>
      <c r="G100" s="17"/>
      <c r="H100" s="17"/>
    </row>
    <row r="101" customFormat="false" ht="15" hidden="false" customHeight="false" outlineLevel="0" collapsed="false">
      <c r="A101" s="11" t="n">
        <v>25</v>
      </c>
      <c r="B101" s="13" t="str">
        <f aca="false">Prompts!B29</f>
        <v>Problem-Solution</v>
      </c>
      <c r="C101" s="13" t="str">
        <f aca="false">Prompts!C29</f>
        <v>I need [your category] that can [specific feature]</v>
      </c>
      <c r="D101" s="11" t="s">
        <v>86</v>
      </c>
      <c r="E101" s="17"/>
      <c r="F101" s="17"/>
      <c r="G101" s="17"/>
      <c r="H101" s="17"/>
    </row>
    <row r="102" customFormat="false" ht="15" hidden="false" customHeight="false" outlineLevel="0" collapsed="false">
      <c r="A102" s="11" t="n">
        <v>25</v>
      </c>
      <c r="B102" s="13" t="str">
        <f aca="false">Prompts!B29</f>
        <v>Problem-Solution</v>
      </c>
      <c r="C102" s="13" t="str">
        <f aca="false">Prompts!C29</f>
        <v>I need [your category] that can [specific feature]</v>
      </c>
      <c r="D102" s="11" t="s">
        <v>87</v>
      </c>
      <c r="E102" s="17"/>
      <c r="F102" s="17"/>
      <c r="G102" s="17"/>
      <c r="H102" s="17"/>
    </row>
    <row r="103" customFormat="false" ht="15" hidden="false" customHeight="false" outlineLevel="0" collapsed="false">
      <c r="A103" s="11" t="n">
        <v>25</v>
      </c>
      <c r="B103" s="13" t="str">
        <f aca="false">Prompts!B29</f>
        <v>Problem-Solution</v>
      </c>
      <c r="C103" s="13" t="str">
        <f aca="false">Prompts!C29</f>
        <v>I need [your category] that can [specific feature]</v>
      </c>
      <c r="D103" s="11" t="s">
        <v>88</v>
      </c>
      <c r="E103" s="17"/>
      <c r="F103" s="17"/>
      <c r="G103" s="17"/>
      <c r="H103" s="17"/>
    </row>
    <row r="104" customFormat="false" ht="15" hidden="false" customHeight="false" outlineLevel="0" collapsed="false">
      <c r="A104" s="11" t="n">
        <v>25</v>
      </c>
      <c r="B104" s="13" t="str">
        <f aca="false">Prompts!B29</f>
        <v>Problem-Solution</v>
      </c>
      <c r="C104" s="13" t="str">
        <f aca="false">Prompts!C29</f>
        <v>I need [your category] that can [specific feature]</v>
      </c>
      <c r="D104" s="11" t="s">
        <v>89</v>
      </c>
      <c r="E104" s="17"/>
      <c r="F104" s="17"/>
      <c r="G104" s="17"/>
      <c r="H104" s="17"/>
    </row>
    <row r="105" customFormat="false" ht="15" hidden="false" customHeight="false" outlineLevel="0" collapsed="false">
      <c r="A105" s="11" t="n">
        <v>26</v>
      </c>
      <c r="B105" s="13" t="str">
        <f aca="false">Prompts!B30</f>
        <v>Problem-Solution</v>
      </c>
      <c r="C105" s="13" t="str">
        <f aca="false">Prompts!C30</f>
        <v>Recommend [your category] for [user persona]</v>
      </c>
      <c r="D105" s="11" t="s">
        <v>86</v>
      </c>
      <c r="E105" s="17"/>
      <c r="F105" s="17"/>
      <c r="G105" s="17"/>
      <c r="H105" s="17"/>
    </row>
    <row r="106" customFormat="false" ht="15" hidden="false" customHeight="false" outlineLevel="0" collapsed="false">
      <c r="A106" s="11" t="n">
        <v>26</v>
      </c>
      <c r="B106" s="13" t="str">
        <f aca="false">Prompts!B30</f>
        <v>Problem-Solution</v>
      </c>
      <c r="C106" s="13" t="str">
        <f aca="false">Prompts!C30</f>
        <v>Recommend [your category] for [user persona]</v>
      </c>
      <c r="D106" s="11" t="s">
        <v>87</v>
      </c>
      <c r="E106" s="17"/>
      <c r="F106" s="17"/>
      <c r="G106" s="17"/>
      <c r="H106" s="17"/>
    </row>
    <row r="107" customFormat="false" ht="15" hidden="false" customHeight="false" outlineLevel="0" collapsed="false">
      <c r="A107" s="11" t="n">
        <v>26</v>
      </c>
      <c r="B107" s="13" t="str">
        <f aca="false">Prompts!B30</f>
        <v>Problem-Solution</v>
      </c>
      <c r="C107" s="13" t="str">
        <f aca="false">Prompts!C30</f>
        <v>Recommend [your category] for [user persona]</v>
      </c>
      <c r="D107" s="11" t="s">
        <v>88</v>
      </c>
      <c r="E107" s="17"/>
      <c r="F107" s="17"/>
      <c r="G107" s="17"/>
      <c r="H107" s="17"/>
    </row>
    <row r="108" customFormat="false" ht="15" hidden="false" customHeight="false" outlineLevel="0" collapsed="false">
      <c r="A108" s="11" t="n">
        <v>26</v>
      </c>
      <c r="B108" s="13" t="str">
        <f aca="false">Prompts!B30</f>
        <v>Problem-Solution</v>
      </c>
      <c r="C108" s="13" t="str">
        <f aca="false">Prompts!C30</f>
        <v>Recommend [your category] for [user persona]</v>
      </c>
      <c r="D108" s="11" t="s">
        <v>89</v>
      </c>
      <c r="E108" s="17"/>
      <c r="F108" s="17"/>
      <c r="G108" s="17"/>
      <c r="H108" s="17"/>
    </row>
    <row r="109" customFormat="false" ht="15" hidden="false" customHeight="false" outlineLevel="0" collapsed="false">
      <c r="A109" s="11" t="n">
        <v>27</v>
      </c>
      <c r="B109" s="13" t="str">
        <f aca="false">Prompts!B31</f>
        <v>Problem-Solution</v>
      </c>
      <c r="C109" s="13" t="str">
        <f aca="false">Prompts!C31</f>
        <v>Best [your category] under [price point]</v>
      </c>
      <c r="D109" s="11" t="s">
        <v>86</v>
      </c>
      <c r="E109" s="17"/>
      <c r="F109" s="17"/>
      <c r="G109" s="17"/>
      <c r="H109" s="17"/>
    </row>
    <row r="110" customFormat="false" ht="15" hidden="false" customHeight="false" outlineLevel="0" collapsed="false">
      <c r="A110" s="11" t="n">
        <v>27</v>
      </c>
      <c r="B110" s="13" t="str">
        <f aca="false">Prompts!B31</f>
        <v>Problem-Solution</v>
      </c>
      <c r="C110" s="13" t="str">
        <f aca="false">Prompts!C31</f>
        <v>Best [your category] under [price point]</v>
      </c>
      <c r="D110" s="11" t="s">
        <v>87</v>
      </c>
      <c r="E110" s="17"/>
      <c r="F110" s="17"/>
      <c r="G110" s="17"/>
      <c r="H110" s="17"/>
    </row>
    <row r="111" customFormat="false" ht="15" hidden="false" customHeight="false" outlineLevel="0" collapsed="false">
      <c r="A111" s="11" t="n">
        <v>27</v>
      </c>
      <c r="B111" s="13" t="str">
        <f aca="false">Prompts!B31</f>
        <v>Problem-Solution</v>
      </c>
      <c r="C111" s="13" t="str">
        <f aca="false">Prompts!C31</f>
        <v>Best [your category] under [price point]</v>
      </c>
      <c r="D111" s="11" t="s">
        <v>88</v>
      </c>
      <c r="E111" s="17"/>
      <c r="F111" s="17"/>
      <c r="G111" s="17"/>
      <c r="H111" s="17"/>
    </row>
    <row r="112" customFormat="false" ht="15" hidden="false" customHeight="false" outlineLevel="0" collapsed="false">
      <c r="A112" s="11" t="n">
        <v>27</v>
      </c>
      <c r="B112" s="13" t="str">
        <f aca="false">Prompts!B31</f>
        <v>Problem-Solution</v>
      </c>
      <c r="C112" s="13" t="str">
        <f aca="false">Prompts!C31</f>
        <v>Best [your category] under [price point]</v>
      </c>
      <c r="D112" s="11" t="s">
        <v>89</v>
      </c>
      <c r="E112" s="17"/>
      <c r="F112" s="17"/>
      <c r="G112" s="17"/>
      <c r="H112" s="17"/>
    </row>
    <row r="113" customFormat="false" ht="15" hidden="false" customHeight="false" outlineLevel="0" collapsed="false">
      <c r="A113" s="11" t="n">
        <v>28</v>
      </c>
      <c r="B113" s="13" t="str">
        <f aca="false">Prompts!B32</f>
        <v>Problem-Solution</v>
      </c>
      <c r="C113" s="13" t="str">
        <f aca="false">Prompts!C32</f>
        <v>What [your category] do [target persona] use</v>
      </c>
      <c r="D113" s="11" t="s">
        <v>86</v>
      </c>
      <c r="E113" s="17"/>
      <c r="F113" s="17"/>
      <c r="G113" s="17"/>
      <c r="H113" s="17"/>
    </row>
    <row r="114" customFormat="false" ht="15" hidden="false" customHeight="false" outlineLevel="0" collapsed="false">
      <c r="A114" s="11" t="n">
        <v>28</v>
      </c>
      <c r="B114" s="13" t="str">
        <f aca="false">Prompts!B32</f>
        <v>Problem-Solution</v>
      </c>
      <c r="C114" s="13" t="str">
        <f aca="false">Prompts!C32</f>
        <v>What [your category] do [target persona] use</v>
      </c>
      <c r="D114" s="11" t="s">
        <v>87</v>
      </c>
      <c r="E114" s="17"/>
      <c r="F114" s="17"/>
      <c r="G114" s="17"/>
      <c r="H114" s="17"/>
    </row>
    <row r="115" customFormat="false" ht="15" hidden="false" customHeight="false" outlineLevel="0" collapsed="false">
      <c r="A115" s="11" t="n">
        <v>28</v>
      </c>
      <c r="B115" s="13" t="str">
        <f aca="false">Prompts!B32</f>
        <v>Problem-Solution</v>
      </c>
      <c r="C115" s="13" t="str">
        <f aca="false">Prompts!C32</f>
        <v>What [your category] do [target persona] use</v>
      </c>
      <c r="D115" s="11" t="s">
        <v>88</v>
      </c>
      <c r="E115" s="17"/>
      <c r="F115" s="17"/>
      <c r="G115" s="17"/>
      <c r="H115" s="17"/>
    </row>
    <row r="116" customFormat="false" ht="15" hidden="false" customHeight="false" outlineLevel="0" collapsed="false">
      <c r="A116" s="11" t="n">
        <v>28</v>
      </c>
      <c r="B116" s="13" t="str">
        <f aca="false">Prompts!B32</f>
        <v>Problem-Solution</v>
      </c>
      <c r="C116" s="13" t="str">
        <f aca="false">Prompts!C32</f>
        <v>What [your category] do [target persona] use</v>
      </c>
      <c r="D116" s="11" t="s">
        <v>89</v>
      </c>
      <c r="E116" s="17"/>
      <c r="F116" s="17"/>
      <c r="G116" s="17"/>
      <c r="H116" s="17"/>
    </row>
    <row r="117" customFormat="false" ht="15" hidden="false" customHeight="false" outlineLevel="0" collapsed="false">
      <c r="A117" s="11" t="n">
        <v>29</v>
      </c>
      <c r="B117" s="13" t="str">
        <f aca="false">Prompts!B33</f>
        <v>Problem-Solution</v>
      </c>
      <c r="C117" s="13" t="str">
        <f aca="false">Prompts!C33</f>
        <v>Help me choose [your category]</v>
      </c>
      <c r="D117" s="11" t="s">
        <v>86</v>
      </c>
      <c r="E117" s="17"/>
      <c r="F117" s="17"/>
      <c r="G117" s="17"/>
      <c r="H117" s="17"/>
    </row>
    <row r="118" customFormat="false" ht="15" hidden="false" customHeight="false" outlineLevel="0" collapsed="false">
      <c r="A118" s="11" t="n">
        <v>29</v>
      </c>
      <c r="B118" s="13" t="str">
        <f aca="false">Prompts!B33</f>
        <v>Problem-Solution</v>
      </c>
      <c r="C118" s="13" t="str">
        <f aca="false">Prompts!C33</f>
        <v>Help me choose [your category]</v>
      </c>
      <c r="D118" s="11" t="s">
        <v>87</v>
      </c>
      <c r="E118" s="17"/>
      <c r="F118" s="17"/>
      <c r="G118" s="17"/>
      <c r="H118" s="17"/>
    </row>
    <row r="119" customFormat="false" ht="15" hidden="false" customHeight="false" outlineLevel="0" collapsed="false">
      <c r="A119" s="11" t="n">
        <v>29</v>
      </c>
      <c r="B119" s="13" t="str">
        <f aca="false">Prompts!B33</f>
        <v>Problem-Solution</v>
      </c>
      <c r="C119" s="13" t="str">
        <f aca="false">Prompts!C33</f>
        <v>Help me choose [your category]</v>
      </c>
      <c r="D119" s="11" t="s">
        <v>88</v>
      </c>
      <c r="E119" s="17"/>
      <c r="F119" s="17"/>
      <c r="G119" s="17"/>
      <c r="H119" s="17"/>
    </row>
    <row r="120" customFormat="false" ht="15" hidden="false" customHeight="false" outlineLevel="0" collapsed="false">
      <c r="A120" s="11" t="n">
        <v>29</v>
      </c>
      <c r="B120" s="13" t="str">
        <f aca="false">Prompts!B33</f>
        <v>Problem-Solution</v>
      </c>
      <c r="C120" s="13" t="str">
        <f aca="false">Prompts!C33</f>
        <v>Help me choose [your category]</v>
      </c>
      <c r="D120" s="11" t="s">
        <v>89</v>
      </c>
      <c r="E120" s="17"/>
      <c r="F120" s="17"/>
      <c r="G120" s="17"/>
      <c r="H120" s="17"/>
    </row>
    <row r="121" customFormat="false" ht="15" hidden="false" customHeight="false" outlineLevel="0" collapsed="false">
      <c r="A121" s="11" t="n">
        <v>30</v>
      </c>
      <c r="B121" s="13" t="str">
        <f aca="false">Prompts!B34</f>
        <v>Problem-Solution</v>
      </c>
      <c r="C121" s="13" t="str">
        <f aca="false">Prompts!C34</f>
        <v>What's the difference between [option 1] and [option 2]</v>
      </c>
      <c r="D121" s="11" t="s">
        <v>86</v>
      </c>
      <c r="E121" s="17"/>
      <c r="F121" s="17"/>
      <c r="G121" s="17"/>
      <c r="H121" s="17"/>
    </row>
    <row r="122" customFormat="false" ht="15" hidden="false" customHeight="false" outlineLevel="0" collapsed="false">
      <c r="A122" s="11" t="n">
        <v>30</v>
      </c>
      <c r="B122" s="13" t="str">
        <f aca="false">Prompts!B34</f>
        <v>Problem-Solution</v>
      </c>
      <c r="C122" s="13" t="str">
        <f aca="false">Prompts!C34</f>
        <v>What's the difference between [option 1] and [option 2]</v>
      </c>
      <c r="D122" s="11" t="s">
        <v>87</v>
      </c>
      <c r="E122" s="17"/>
      <c r="F122" s="17"/>
      <c r="G122" s="17"/>
      <c r="H122" s="17"/>
    </row>
    <row r="123" customFormat="false" ht="15" hidden="false" customHeight="false" outlineLevel="0" collapsed="false">
      <c r="A123" s="11" t="n">
        <v>30</v>
      </c>
      <c r="B123" s="13" t="str">
        <f aca="false">Prompts!B34</f>
        <v>Problem-Solution</v>
      </c>
      <c r="C123" s="13" t="str">
        <f aca="false">Prompts!C34</f>
        <v>What's the difference between [option 1] and [option 2]</v>
      </c>
      <c r="D123" s="11" t="s">
        <v>88</v>
      </c>
      <c r="E123" s="17"/>
      <c r="F123" s="17"/>
      <c r="G123" s="17"/>
      <c r="H123" s="17"/>
    </row>
    <row r="124" customFormat="false" ht="15" hidden="false" customHeight="false" outlineLevel="0" collapsed="false">
      <c r="A124" s="11" t="n">
        <v>30</v>
      </c>
      <c r="B124" s="13" t="str">
        <f aca="false">Prompts!B34</f>
        <v>Problem-Solution</v>
      </c>
      <c r="C124" s="13" t="str">
        <f aca="false">Prompts!C34</f>
        <v>What's the difference between [option 1] and [option 2]</v>
      </c>
      <c r="D124" s="11" t="s">
        <v>89</v>
      </c>
      <c r="E124" s="17"/>
      <c r="F124" s="17"/>
      <c r="G124" s="17"/>
      <c r="H124" s="17"/>
    </row>
  </sheetData>
  <mergeCells count="2">
    <mergeCell ref="A1:H1"/>
    <mergeCell ref="A2:H2"/>
  </mergeCells>
  <conditionalFormatting sqref="E5:E124">
    <cfRule type="cellIs" priority="2" operator="equal" aboveAverage="0" equalAverage="0" bottom="0" percent="0" rank="0" text="" dxfId="0">
      <formula>"Y"</formula>
    </cfRule>
    <cfRule type="cellIs" priority="3" operator="equal" aboveAverage="0" equalAverage="0" bottom="0" percent="0" rank="0" text="" dxfId="1">
      <formula>"N"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5" min="2" style="0" width="18"/>
  </cols>
  <sheetData>
    <row r="1" customFormat="false" ht="19.7" hidden="false" customHeight="false" outlineLevel="0" collapsed="false">
      <c r="A1" s="6" t="s">
        <v>90</v>
      </c>
      <c r="B1" s="6"/>
      <c r="C1" s="6"/>
      <c r="D1" s="6"/>
      <c r="E1" s="6"/>
    </row>
    <row r="2" customFormat="false" ht="15" hidden="false" customHeight="false" outlineLevel="0" collapsed="false">
      <c r="A2" s="7" t="s">
        <v>91</v>
      </c>
      <c r="B2" s="7"/>
      <c r="C2" s="7"/>
      <c r="D2" s="7"/>
      <c r="E2" s="7"/>
    </row>
    <row r="4" customFormat="false" ht="15" hidden="false" customHeight="false" outlineLevel="0" collapsed="false">
      <c r="A4" s="3" t="s">
        <v>92</v>
      </c>
      <c r="B4" s="3"/>
      <c r="C4" s="3"/>
      <c r="D4" s="3"/>
      <c r="E4" s="3"/>
    </row>
    <row r="5" customFormat="false" ht="15" hidden="false" customHeight="false" outlineLevel="0" collapsed="false">
      <c r="A5" s="18" t="s">
        <v>93</v>
      </c>
      <c r="B5" s="18" t="n">
        <f aca="false">COUNTIF(Results!E5:E124,"Y")+COUNTIF(Results!E5:E124,"N")</f>
        <v>0</v>
      </c>
    </row>
    <row r="6" customFormat="false" ht="15" hidden="false" customHeight="false" outlineLevel="0" collapsed="false">
      <c r="A6" s="18" t="s">
        <v>94</v>
      </c>
      <c r="B6" s="18" t="n">
        <f aca="false">COUNTIF(Results!E5:E124,"Y")</f>
        <v>0</v>
      </c>
    </row>
    <row r="7" customFormat="false" ht="17.35" hidden="false" customHeight="false" outlineLevel="0" collapsed="false">
      <c r="A7" s="19" t="s">
        <v>95</v>
      </c>
      <c r="B7" s="20" t="n">
        <f aca="false">IFERROR(B6/B5,0)</f>
        <v>0</v>
      </c>
    </row>
    <row r="9" customFormat="false" ht="15" hidden="false" customHeight="false" outlineLevel="0" collapsed="false">
      <c r="A9" s="3" t="s">
        <v>96</v>
      </c>
      <c r="B9" s="3"/>
      <c r="C9" s="3"/>
      <c r="D9" s="3"/>
      <c r="E9" s="3"/>
    </row>
    <row r="10" customFormat="false" ht="15" hidden="false" customHeight="false" outlineLevel="0" collapsed="false">
      <c r="A10" s="21" t="s">
        <v>81</v>
      </c>
      <c r="B10" s="21" t="s">
        <v>97</v>
      </c>
      <c r="C10" s="21" t="s">
        <v>98</v>
      </c>
      <c r="D10" s="21" t="s">
        <v>16</v>
      </c>
    </row>
    <row r="11" customFormat="false" ht="15" hidden="false" customHeight="false" outlineLevel="0" collapsed="false">
      <c r="A11" s="13" t="s">
        <v>86</v>
      </c>
      <c r="B11" s="13" t="n">
        <f aca="false">COUNTIFS(Results!D5:D124,"ChatGPT",Results!E5:E124,"Y")</f>
        <v>0</v>
      </c>
      <c r="C11" s="13" t="n">
        <f aca="false">COUNTIF(Results!D5:D124,"ChatGPT")</f>
        <v>30</v>
      </c>
      <c r="D11" s="22" t="n">
        <f aca="false">IFERROR(B11/C11,0)</f>
        <v>0</v>
      </c>
    </row>
    <row r="12" customFormat="false" ht="15" hidden="false" customHeight="false" outlineLevel="0" collapsed="false">
      <c r="A12" s="13" t="s">
        <v>87</v>
      </c>
      <c r="B12" s="13" t="n">
        <f aca="false">COUNTIFS(Results!D5:D124,"Claude",Results!E5:E124,"Y")</f>
        <v>0</v>
      </c>
      <c r="C12" s="13" t="n">
        <f aca="false">COUNTIF(Results!D5:D124,"Claude")</f>
        <v>30</v>
      </c>
      <c r="D12" s="22" t="n">
        <f aca="false">IFERROR(B12/C12,0)</f>
        <v>0</v>
      </c>
    </row>
    <row r="13" customFormat="false" ht="15" hidden="false" customHeight="false" outlineLevel="0" collapsed="false">
      <c r="A13" s="13" t="s">
        <v>88</v>
      </c>
      <c r="B13" s="13" t="n">
        <f aca="false">COUNTIFS(Results!D5:D124,"Perplexity",Results!E5:E124,"Y")</f>
        <v>0</v>
      </c>
      <c r="C13" s="13" t="n">
        <f aca="false">COUNTIF(Results!D5:D124,"Perplexity")</f>
        <v>30</v>
      </c>
      <c r="D13" s="22" t="n">
        <f aca="false">IFERROR(B13/C13,0)</f>
        <v>0</v>
      </c>
    </row>
    <row r="14" customFormat="false" ht="15" hidden="false" customHeight="false" outlineLevel="0" collapsed="false">
      <c r="A14" s="13" t="s">
        <v>89</v>
      </c>
      <c r="B14" s="13" t="n">
        <f aca="false">COUNTIFS(Results!D5:D124,"Google AI Overviews",Results!E5:E124,"Y")</f>
        <v>0</v>
      </c>
      <c r="C14" s="13" t="n">
        <f aca="false">COUNTIF(Results!D5:D124,"Google AI Overviews")</f>
        <v>30</v>
      </c>
      <c r="D14" s="22" t="n">
        <f aca="false">IFERROR(B14/C14,0)</f>
        <v>0</v>
      </c>
    </row>
    <row r="16" customFormat="false" ht="15" hidden="false" customHeight="false" outlineLevel="0" collapsed="false">
      <c r="A16" s="3" t="s">
        <v>99</v>
      </c>
      <c r="B16" s="3"/>
      <c r="C16" s="3"/>
      <c r="D16" s="3"/>
      <c r="E16" s="3"/>
    </row>
    <row r="17" customFormat="false" ht="15" hidden="false" customHeight="false" outlineLevel="0" collapsed="false">
      <c r="A17" s="21" t="s">
        <v>45</v>
      </c>
      <c r="B17" s="21" t="s">
        <v>97</v>
      </c>
      <c r="C17" s="21" t="s">
        <v>98</v>
      </c>
      <c r="D17" s="21" t="s">
        <v>16</v>
      </c>
    </row>
    <row r="18" customFormat="false" ht="15" hidden="false" customHeight="false" outlineLevel="0" collapsed="false">
      <c r="A18" s="13" t="s">
        <v>45</v>
      </c>
      <c r="B18" s="13" t="n">
        <f aca="false">COUNTIFS(Results!B5:B124,"Category",Results!E5:E124,"Y")</f>
        <v>0</v>
      </c>
      <c r="C18" s="13" t="n">
        <f aca="false">COUNTIF(Results!B5:B124,"Category")</f>
        <v>40</v>
      </c>
      <c r="D18" s="22" t="n">
        <f aca="false">IFERROR(B18/C18,0)</f>
        <v>0</v>
      </c>
    </row>
    <row r="19" customFormat="false" ht="15" hidden="false" customHeight="false" outlineLevel="0" collapsed="false">
      <c r="A19" s="13" t="s">
        <v>57</v>
      </c>
      <c r="B19" s="13" t="n">
        <f aca="false">COUNTIFS(Results!B5:B124,"Comparison",Results!E5:E124,"Y")</f>
        <v>0</v>
      </c>
      <c r="C19" s="13" t="n">
        <f aca="false">COUNTIF(Results!B5:B124,"Comparison")</f>
        <v>40</v>
      </c>
      <c r="D19" s="22" t="n">
        <f aca="false">IFERROR(B19/C19,0)</f>
        <v>0</v>
      </c>
    </row>
    <row r="20" customFormat="false" ht="15" hidden="false" customHeight="false" outlineLevel="0" collapsed="false">
      <c r="A20" s="13" t="s">
        <v>68</v>
      </c>
      <c r="B20" s="13" t="n">
        <f aca="false">COUNTIFS(Results!B5:B124,"Problem-Solution",Results!E5:E124,"Y")</f>
        <v>0</v>
      </c>
      <c r="C20" s="13" t="n">
        <f aca="false">COUNTIF(Results!B5:B124,"Problem-Solution")</f>
        <v>40</v>
      </c>
      <c r="D20" s="22" t="n">
        <f aca="false">IFERROR(B20/C20,0)</f>
        <v>0</v>
      </c>
    </row>
    <row r="23" customFormat="false" ht="15" hidden="false" customHeight="false" outlineLevel="0" collapsed="false">
      <c r="A23" s="3" t="s">
        <v>100</v>
      </c>
      <c r="B23" s="3"/>
      <c r="C23" s="3"/>
      <c r="D23" s="3"/>
      <c r="E23" s="3"/>
    </row>
    <row r="24" customFormat="false" ht="15" hidden="false" customHeight="false" outlineLevel="0" collapsed="false">
      <c r="A24" s="21" t="s">
        <v>81</v>
      </c>
      <c r="B24" s="21" t="s">
        <v>45</v>
      </c>
      <c r="C24" s="21" t="s">
        <v>57</v>
      </c>
      <c r="D24" s="21" t="s">
        <v>68</v>
      </c>
    </row>
    <row r="25" customFormat="false" ht="15" hidden="false" customHeight="false" outlineLevel="0" collapsed="false">
      <c r="A25" s="13" t="s">
        <v>86</v>
      </c>
      <c r="B25" s="22" t="n">
        <f aca="false">IFERROR(COUNTIFS(Results!D5:D124,"ChatGPT",Results!B5:B124,"Category",Results!E5:E124,"Y")/COUNTIFS(Results!D5:D124,"ChatGPT",Results!B5:B124,"Category"),0)</f>
        <v>0</v>
      </c>
      <c r="C25" s="22" t="n">
        <f aca="false">IFERROR(COUNTIFS(Results!D5:D124,"ChatGPT",Results!B5:B124,"Comparison",Results!E5:E124,"Y")/COUNTIFS(Results!D5:D124,"ChatGPT",Results!B5:B124,"Comparison"),0)</f>
        <v>0</v>
      </c>
      <c r="D25" s="22" t="n">
        <f aca="false">IFERROR(COUNTIFS(Results!D5:D124,"ChatGPT",Results!B5:B124,"Problem-Solution",Results!E5:E124,"Y")/COUNTIFS(Results!D5:D124,"ChatGPT",Results!B5:B124,"Problem-Solution"),0)</f>
        <v>0</v>
      </c>
    </row>
    <row r="26" customFormat="false" ht="15" hidden="false" customHeight="false" outlineLevel="0" collapsed="false">
      <c r="A26" s="13" t="s">
        <v>87</v>
      </c>
      <c r="B26" s="22" t="n">
        <f aca="false">IFERROR(COUNTIFS(Results!D5:D124,"Claude",Results!B5:B124,"Category",Results!E5:E124,"Y")/COUNTIFS(Results!D5:D124,"Claude",Results!B5:B124,"Category"),0)</f>
        <v>0</v>
      </c>
      <c r="C26" s="22" t="n">
        <f aca="false">IFERROR(COUNTIFS(Results!D5:D124,"Claude",Results!B5:B124,"Comparison",Results!E5:E124,"Y")/COUNTIFS(Results!D5:D124,"Claude",Results!B5:B124,"Comparison"),0)</f>
        <v>0</v>
      </c>
      <c r="D26" s="22" t="n">
        <f aca="false">IFERROR(COUNTIFS(Results!D5:D124,"Claude",Results!B5:B124,"Problem-Solution",Results!E5:E124,"Y")/COUNTIFS(Results!D5:D124,"Claude",Results!B5:B124,"Problem-Solution"),0)</f>
        <v>0</v>
      </c>
    </row>
    <row r="27" customFormat="false" ht="15" hidden="false" customHeight="false" outlineLevel="0" collapsed="false">
      <c r="A27" s="13" t="s">
        <v>88</v>
      </c>
      <c r="B27" s="22" t="n">
        <f aca="false">IFERROR(COUNTIFS(Results!D5:D124,"Perplexity",Results!B5:B124,"Category",Results!E5:E124,"Y")/COUNTIFS(Results!D5:D124,"Perplexity",Results!B5:B124,"Category"),0)</f>
        <v>0</v>
      </c>
      <c r="C27" s="22" t="n">
        <f aca="false">IFERROR(COUNTIFS(Results!D5:D124,"Perplexity",Results!B5:B124,"Comparison",Results!E5:E124,"Y")/COUNTIFS(Results!D5:D124,"Perplexity",Results!B5:B124,"Comparison"),0)</f>
        <v>0</v>
      </c>
      <c r="D27" s="22" t="n">
        <f aca="false">IFERROR(COUNTIFS(Results!D5:D124,"Perplexity",Results!B5:B124,"Problem-Solution",Results!E5:E124,"Y")/COUNTIFS(Results!D5:D124,"Perplexity",Results!B5:B124,"Problem-Solution"),0)</f>
        <v>0</v>
      </c>
    </row>
    <row r="28" customFormat="false" ht="15" hidden="false" customHeight="false" outlineLevel="0" collapsed="false">
      <c r="A28" s="13" t="s">
        <v>89</v>
      </c>
      <c r="B28" s="22" t="n">
        <f aca="false">IFERROR(COUNTIFS(Results!D5:D124,"Google AI Overviews",Results!B5:B124,"Category",Results!E5:E124,"Y")/COUNTIFS(Results!D5:D124,"Google AI Overviews",Results!B5:B124,"Category"),0)</f>
        <v>0</v>
      </c>
      <c r="C28" s="22" t="n">
        <f aca="false">IFERROR(COUNTIFS(Results!D5:D124,"Google AI Overviews",Results!B5:B124,"Comparison",Results!E5:E124,"Y")/COUNTIFS(Results!D5:D124,"Google AI Overviews",Results!B5:B124,"Comparison"),0)</f>
        <v>0</v>
      </c>
      <c r="D28" s="22" t="n">
        <f aca="false">IFERROR(COUNTIFS(Results!D5:D124,"Google AI Overviews",Results!B5:B124,"Problem-Solution",Results!E5:E124,"Y")/COUNTIFS(Results!D5:D124,"Google AI Overviews",Results!B5:B124,"Problem-Solution"),0)</f>
        <v>0</v>
      </c>
    </row>
  </sheetData>
  <mergeCells count="6">
    <mergeCell ref="A1:E1"/>
    <mergeCell ref="A2:E2"/>
    <mergeCell ref="A4:E4"/>
    <mergeCell ref="A9:E9"/>
    <mergeCell ref="A16:E16"/>
    <mergeCell ref="A23: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18"/>
    <col collapsed="false" customWidth="true" hidden="false" outlineLevel="0" max="4" min="4" style="0" width="50"/>
  </cols>
  <sheetData>
    <row r="1" customFormat="false" ht="19.7" hidden="false" customHeight="false" outlineLevel="0" collapsed="false">
      <c r="A1" s="6" t="s">
        <v>101</v>
      </c>
      <c r="B1" s="6"/>
      <c r="C1" s="6"/>
      <c r="D1" s="6"/>
    </row>
    <row r="2" customFormat="false" ht="15" hidden="false" customHeight="false" outlineLevel="0" collapsed="false">
      <c r="A2" s="7" t="s">
        <v>102</v>
      </c>
      <c r="B2" s="7"/>
      <c r="C2" s="7"/>
      <c r="D2" s="7"/>
    </row>
    <row r="4" customFormat="false" ht="15" hidden="false" customHeight="false" outlineLevel="0" collapsed="false">
      <c r="A4" s="10" t="s">
        <v>103</v>
      </c>
      <c r="B4" s="10" t="s">
        <v>104</v>
      </c>
      <c r="C4" s="10" t="s">
        <v>16</v>
      </c>
      <c r="D4" s="10" t="s">
        <v>105</v>
      </c>
    </row>
    <row r="5" customFormat="false" ht="15" hidden="false" customHeight="false" outlineLevel="0" collapsed="false">
      <c r="A5" s="13" t="str">
        <f aca="false">Setup!B7</f>
        <v>[Competitor name]</v>
      </c>
      <c r="B5" s="13" t="n">
        <f aca="false">IFERROR(SUMPRODUCT(--(ISNUMBER(SEARCH(A5,Results!G5:G124)))),0)</f>
        <v>0</v>
      </c>
      <c r="C5" s="22" t="n">
        <f aca="false">IFERROR(B5/120,0)</f>
        <v>0</v>
      </c>
      <c r="D5" s="17"/>
    </row>
    <row r="6" customFormat="false" ht="15" hidden="false" customHeight="false" outlineLevel="0" collapsed="false">
      <c r="A6" s="13" t="str">
        <f aca="false">Setup!B8</f>
        <v>[Competitor name]</v>
      </c>
      <c r="B6" s="13" t="n">
        <f aca="false">IFERROR(SUMPRODUCT(--(ISNUMBER(SEARCH(A6,Results!G5:G124)))),0)</f>
        <v>0</v>
      </c>
      <c r="C6" s="22" t="n">
        <f aca="false">IFERROR(B6/120,0)</f>
        <v>0</v>
      </c>
      <c r="D6" s="17"/>
    </row>
    <row r="7" customFormat="false" ht="15" hidden="false" customHeight="false" outlineLevel="0" collapsed="false">
      <c r="A7" s="13" t="str">
        <f aca="false">Setup!B9</f>
        <v>[Competitor name]</v>
      </c>
      <c r="B7" s="13" t="n">
        <f aca="false">IFERROR(SUMPRODUCT(--(ISNUMBER(SEARCH(A7,Results!G5:G124)))),0)</f>
        <v>0</v>
      </c>
      <c r="C7" s="22" t="n">
        <f aca="false">IFERROR(B7/120,0)</f>
        <v>0</v>
      </c>
      <c r="D7" s="17"/>
    </row>
    <row r="8" customFormat="false" ht="15" hidden="false" customHeight="false" outlineLevel="0" collapsed="false">
      <c r="A8" s="13" t="str">
        <f aca="false">Setup!B10</f>
        <v>[Competitor name]</v>
      </c>
      <c r="B8" s="13" t="n">
        <f aca="false">IFERROR(SUMPRODUCT(--(ISNUMBER(SEARCH(A8,Results!G5:G124)))),0)</f>
        <v>0</v>
      </c>
      <c r="C8" s="22" t="n">
        <f aca="false">IFERROR(B8/120,0)</f>
        <v>0</v>
      </c>
      <c r="D8" s="17"/>
    </row>
    <row r="9" customFormat="false" ht="15" hidden="false" customHeight="false" outlineLevel="0" collapsed="false">
      <c r="A9" s="13" t="str">
        <f aca="false">Setup!B11</f>
        <v>[Competitor name]</v>
      </c>
      <c r="B9" s="13" t="n">
        <f aca="false">IFERROR(SUMPRODUCT(--(ISNUMBER(SEARCH(A9,Results!G5:G124)))),0)</f>
        <v>0</v>
      </c>
      <c r="C9" s="22" t="n">
        <f aca="false">IFERROR(B9/120,0)</f>
        <v>0</v>
      </c>
      <c r="D9" s="17"/>
    </row>
    <row r="10" customFormat="false" ht="15" hidden="false" customHeight="false" outlineLevel="0" collapsed="false">
      <c r="A10" s="17"/>
      <c r="B10" s="13" t="n">
        <f aca="false">IF(A10="",0,IFERROR(SUMPRODUCT(--(ISNUMBER(SEARCH(A10,Results!G5:G124)))),0))</f>
        <v>0</v>
      </c>
      <c r="C10" s="22" t="n">
        <f aca="false">IFERROR(B10/120,0)</f>
        <v>0</v>
      </c>
      <c r="D10" s="17"/>
    </row>
    <row r="11" customFormat="false" ht="15" hidden="false" customHeight="false" outlineLevel="0" collapsed="false">
      <c r="A11" s="17"/>
      <c r="B11" s="13" t="n">
        <f aca="false">IF(A11="",0,IFERROR(SUMPRODUCT(--(ISNUMBER(SEARCH(A11,Results!G5:G124)))),0))</f>
        <v>0</v>
      </c>
      <c r="C11" s="22" t="n">
        <f aca="false">IFERROR(B11/120,0)</f>
        <v>0</v>
      </c>
      <c r="D11" s="17"/>
    </row>
    <row r="12" customFormat="false" ht="15" hidden="false" customHeight="false" outlineLevel="0" collapsed="false">
      <c r="A12" s="17"/>
      <c r="B12" s="13" t="n">
        <f aca="false">IF(A12="",0,IFERROR(SUMPRODUCT(--(ISNUMBER(SEARCH(A12,Results!G5:G124)))),0))</f>
        <v>0</v>
      </c>
      <c r="C12" s="22" t="n">
        <f aca="false">IFERROR(B12/120,0)</f>
        <v>0</v>
      </c>
      <c r="D12" s="17"/>
    </row>
    <row r="13" customFormat="false" ht="15" hidden="false" customHeight="false" outlineLevel="0" collapsed="false">
      <c r="A13" s="17"/>
      <c r="B13" s="13" t="n">
        <f aca="false">IF(A13="",0,IFERROR(SUMPRODUCT(--(ISNUMBER(SEARCH(A13,Results!G5:G124)))),0))</f>
        <v>0</v>
      </c>
      <c r="C13" s="22" t="n">
        <f aca="false">IFERROR(B13/120,0)</f>
        <v>0</v>
      </c>
      <c r="D13" s="17"/>
    </row>
    <row r="14" customFormat="false" ht="15" hidden="false" customHeight="false" outlineLevel="0" collapsed="false">
      <c r="A14" s="17"/>
      <c r="B14" s="13" t="n">
        <f aca="false">IF(A14="",0,IFERROR(SUMPRODUCT(--(ISNUMBER(SEARCH(A14,Results!G5:G124)))),0))</f>
        <v>0</v>
      </c>
      <c r="C14" s="22" t="n">
        <f aca="false">IFERROR(B14/120,0)</f>
        <v>0</v>
      </c>
      <c r="D14" s="17"/>
    </row>
    <row r="15" customFormat="false" ht="15" hidden="false" customHeight="false" outlineLevel="0" collapsed="false">
      <c r="A15" s="17"/>
      <c r="B15" s="13" t="n">
        <f aca="false">IF(A15="",0,IFERROR(SUMPRODUCT(--(ISNUMBER(SEARCH(A15,Results!G5:G124)))),0))</f>
        <v>0</v>
      </c>
      <c r="C15" s="22" t="n">
        <f aca="false">IFERROR(B15/120,0)</f>
        <v>0</v>
      </c>
      <c r="D15" s="17"/>
    </row>
    <row r="16" customFormat="false" ht="15" hidden="false" customHeight="false" outlineLevel="0" collapsed="false">
      <c r="A16" s="17"/>
      <c r="B16" s="13" t="n">
        <f aca="false">IF(A16="",0,IFERROR(SUMPRODUCT(--(ISNUMBER(SEARCH(A16,Results!G5:G124)))),0))</f>
        <v>0</v>
      </c>
      <c r="C16" s="22" t="n">
        <f aca="false">IFERROR(B16/120,0)</f>
        <v>0</v>
      </c>
      <c r="D16" s="17"/>
    </row>
    <row r="17" customFormat="false" ht="15" hidden="false" customHeight="false" outlineLevel="0" collapsed="false">
      <c r="A17" s="17"/>
      <c r="B17" s="13" t="n">
        <f aca="false">IF(A17="",0,IFERROR(SUMPRODUCT(--(ISNUMBER(SEARCH(A17,Results!G5:G124)))),0))</f>
        <v>0</v>
      </c>
      <c r="C17" s="22" t="n">
        <f aca="false">IFERROR(B17/120,0)</f>
        <v>0</v>
      </c>
      <c r="D17" s="17"/>
    </row>
    <row r="18" customFormat="false" ht="15" hidden="false" customHeight="false" outlineLevel="0" collapsed="false">
      <c r="A18" s="17"/>
      <c r="B18" s="13" t="n">
        <f aca="false">IF(A18="",0,IFERROR(SUMPRODUCT(--(ISNUMBER(SEARCH(A18,Results!G5:G124)))),0))</f>
        <v>0</v>
      </c>
      <c r="C18" s="22" t="n">
        <f aca="false">IFERROR(B18/120,0)</f>
        <v>0</v>
      </c>
      <c r="D18" s="17"/>
    </row>
    <row r="19" customFormat="false" ht="15" hidden="false" customHeight="false" outlineLevel="0" collapsed="false">
      <c r="A19" s="17"/>
      <c r="B19" s="13" t="n">
        <f aca="false">IF(A19="",0,IFERROR(SUMPRODUCT(--(ISNUMBER(SEARCH(A19,Results!G5:G124)))),0))</f>
        <v>0</v>
      </c>
      <c r="C19" s="22" t="n">
        <f aca="false">IFERROR(B19/120,0)</f>
        <v>0</v>
      </c>
      <c r="D19" s="17"/>
    </row>
    <row r="20" customFormat="false" ht="15" hidden="false" customHeight="false" outlineLevel="0" collapsed="false">
      <c r="A20" s="17"/>
      <c r="B20" s="13" t="n">
        <f aca="false">IF(A20="",0,IFERROR(SUMPRODUCT(--(ISNUMBER(SEARCH(A20,Results!G5:G124)))),0))</f>
        <v>0</v>
      </c>
      <c r="C20" s="22" t="n">
        <f aca="false">IFERROR(B20/120,0)</f>
        <v>0</v>
      </c>
      <c r="D20" s="17"/>
    </row>
    <row r="21" customFormat="false" ht="15" hidden="false" customHeight="false" outlineLevel="0" collapsed="false">
      <c r="A21" s="17"/>
      <c r="B21" s="13" t="n">
        <f aca="false">IF(A21="",0,IFERROR(SUMPRODUCT(--(ISNUMBER(SEARCH(A21,Results!G5:G124)))),0))</f>
        <v>0</v>
      </c>
      <c r="C21" s="22" t="n">
        <f aca="false">IFERROR(B21/120,0)</f>
        <v>0</v>
      </c>
      <c r="D21" s="17"/>
    </row>
    <row r="22" customFormat="false" ht="15" hidden="false" customHeight="false" outlineLevel="0" collapsed="false">
      <c r="A22" s="17"/>
      <c r="B22" s="13" t="n">
        <f aca="false">IF(A22="",0,IFERROR(SUMPRODUCT(--(ISNUMBER(SEARCH(A22,Results!G5:G124)))),0))</f>
        <v>0</v>
      </c>
      <c r="C22" s="22" t="n">
        <f aca="false">IFERROR(B22/120,0)</f>
        <v>0</v>
      </c>
      <c r="D22" s="17"/>
    </row>
    <row r="23" customFormat="false" ht="15" hidden="false" customHeight="false" outlineLevel="0" collapsed="false">
      <c r="A23" s="17"/>
      <c r="B23" s="13" t="n">
        <f aca="false">IF(A23="",0,IFERROR(SUMPRODUCT(--(ISNUMBER(SEARCH(A23,Results!G5:G124)))),0))</f>
        <v>0</v>
      </c>
      <c r="C23" s="22" t="n">
        <f aca="false">IFERROR(B23/120,0)</f>
        <v>0</v>
      </c>
      <c r="D23" s="17"/>
    </row>
    <row r="24" customFormat="false" ht="15" hidden="false" customHeight="false" outlineLevel="0" collapsed="false">
      <c r="A24" s="17"/>
      <c r="B24" s="13" t="n">
        <f aca="false">IF(A24="",0,IFERROR(SUMPRODUCT(--(ISNUMBER(SEARCH(A24,Results!G5:G124)))),0))</f>
        <v>0</v>
      </c>
      <c r="C24" s="22" t="n">
        <f aca="false">IFERROR(B24/120,0)</f>
        <v>0</v>
      </c>
      <c r="D24" s="17"/>
    </row>
    <row r="26" customFormat="false" ht="15" hidden="false" customHeight="false" outlineLevel="0" collapsed="false">
      <c r="A26" s="23" t="s">
        <v>106</v>
      </c>
      <c r="B26" s="23" t="n">
        <f aca="false">COUNTIF(Results!E5:E124,"Y")</f>
        <v>0</v>
      </c>
      <c r="C26" s="24" t="n">
        <f aca="false">IFERROR(B26/120,0)</f>
        <v>0</v>
      </c>
      <c r="D26" s="25" t="s">
        <v>107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50"/>
    <col collapsed="false" customWidth="true" hidden="false" outlineLevel="0" max="5" min="4" style="0" width="15"/>
  </cols>
  <sheetData>
    <row r="1" customFormat="false" ht="19.7" hidden="false" customHeight="false" outlineLevel="0" collapsed="false">
      <c r="A1" s="6" t="s">
        <v>108</v>
      </c>
      <c r="B1" s="6"/>
      <c r="C1" s="6"/>
      <c r="D1" s="6"/>
      <c r="E1" s="6"/>
    </row>
    <row r="2" customFormat="false" ht="15" hidden="false" customHeight="false" outlineLevel="0" collapsed="false">
      <c r="A2" s="7" t="s">
        <v>109</v>
      </c>
      <c r="B2" s="7"/>
      <c r="C2" s="7"/>
      <c r="D2" s="7"/>
      <c r="E2" s="7"/>
    </row>
    <row r="4" customFormat="false" ht="15" hidden="false" customHeight="false" outlineLevel="0" collapsed="false">
      <c r="A4" s="10" t="s">
        <v>44</v>
      </c>
      <c r="B4" s="10" t="s">
        <v>110</v>
      </c>
      <c r="C4" s="10" t="s">
        <v>111</v>
      </c>
      <c r="D4" s="10" t="s">
        <v>112</v>
      </c>
      <c r="E4" s="10" t="s">
        <v>113</v>
      </c>
    </row>
    <row r="5" customFormat="false" ht="15" hidden="false" customHeight="false" outlineLevel="0" collapsed="false">
      <c r="A5" s="11" t="n">
        <v>1</v>
      </c>
      <c r="B5" s="13" t="s">
        <v>114</v>
      </c>
      <c r="C5" s="17"/>
      <c r="D5" s="17"/>
      <c r="E5" s="17"/>
    </row>
    <row r="6" customFormat="false" ht="15" hidden="false" customHeight="false" outlineLevel="0" collapsed="false">
      <c r="A6" s="11" t="n">
        <v>2</v>
      </c>
      <c r="B6" s="13" t="s">
        <v>114</v>
      </c>
      <c r="C6" s="17"/>
      <c r="D6" s="17"/>
      <c r="E6" s="17"/>
    </row>
    <row r="7" customFormat="false" ht="15" hidden="false" customHeight="false" outlineLevel="0" collapsed="false">
      <c r="A7" s="11" t="n">
        <v>3</v>
      </c>
      <c r="B7" s="13" t="s">
        <v>114</v>
      </c>
      <c r="C7" s="17"/>
      <c r="D7" s="17"/>
      <c r="E7" s="17"/>
    </row>
    <row r="8" customFormat="false" ht="15" hidden="false" customHeight="false" outlineLevel="0" collapsed="false">
      <c r="A8" s="11" t="n">
        <v>4</v>
      </c>
      <c r="B8" s="13" t="s">
        <v>115</v>
      </c>
      <c r="C8" s="17"/>
      <c r="D8" s="17"/>
      <c r="E8" s="17"/>
    </row>
    <row r="9" customFormat="false" ht="15" hidden="false" customHeight="false" outlineLevel="0" collapsed="false">
      <c r="A9" s="11" t="n">
        <v>5</v>
      </c>
      <c r="B9" s="13" t="s">
        <v>115</v>
      </c>
      <c r="C9" s="17"/>
      <c r="D9" s="17"/>
      <c r="E9" s="17"/>
    </row>
    <row r="10" customFormat="false" ht="15" hidden="false" customHeight="false" outlineLevel="0" collapsed="false">
      <c r="A10" s="11" t="n">
        <v>6</v>
      </c>
      <c r="B10" s="13" t="s">
        <v>115</v>
      </c>
      <c r="C10" s="17"/>
      <c r="D10" s="17"/>
      <c r="E10" s="17"/>
    </row>
    <row r="11" customFormat="false" ht="15" hidden="false" customHeight="false" outlineLevel="0" collapsed="false">
      <c r="A11" s="11" t="n">
        <v>7</v>
      </c>
      <c r="B11" s="13" t="s">
        <v>116</v>
      </c>
      <c r="C11" s="17"/>
      <c r="D11" s="17"/>
      <c r="E11" s="17"/>
    </row>
    <row r="12" customFormat="false" ht="15" hidden="false" customHeight="false" outlineLevel="0" collapsed="false">
      <c r="A12" s="11" t="n">
        <v>8</v>
      </c>
      <c r="B12" s="13" t="s">
        <v>116</v>
      </c>
      <c r="C12" s="17"/>
      <c r="D12" s="17"/>
      <c r="E12" s="17"/>
    </row>
    <row r="13" customFormat="false" ht="15" hidden="false" customHeight="false" outlineLevel="0" collapsed="false">
      <c r="A13" s="11" t="n">
        <v>9</v>
      </c>
      <c r="B13" s="13" t="s">
        <v>116</v>
      </c>
      <c r="C13" s="17"/>
      <c r="D13" s="17"/>
      <c r="E13" s="17"/>
    </row>
    <row r="14" customFormat="false" ht="15" hidden="false" customHeight="false" outlineLevel="0" collapsed="false">
      <c r="A14" s="11" t="n">
        <v>10</v>
      </c>
      <c r="B14" s="13" t="s">
        <v>117</v>
      </c>
      <c r="C14" s="17"/>
      <c r="D14" s="17"/>
      <c r="E14" s="17"/>
    </row>
    <row r="15" customFormat="false" ht="15" hidden="false" customHeight="false" outlineLevel="0" collapsed="false">
      <c r="A15" s="11" t="n">
        <v>11</v>
      </c>
      <c r="B15" s="13" t="s">
        <v>117</v>
      </c>
      <c r="C15" s="17"/>
      <c r="D15" s="17"/>
      <c r="E15" s="17"/>
    </row>
    <row r="16" customFormat="false" ht="15" hidden="false" customHeight="false" outlineLevel="0" collapsed="false">
      <c r="A16" s="11" t="n">
        <v>12</v>
      </c>
      <c r="B16" s="13" t="s">
        <v>117</v>
      </c>
      <c r="C16" s="17"/>
      <c r="D16" s="17"/>
      <c r="E16" s="17"/>
    </row>
    <row r="17" customFormat="false" ht="15" hidden="false" customHeight="false" outlineLevel="0" collapsed="false">
      <c r="A17" s="11" t="n">
        <v>13</v>
      </c>
      <c r="B17" s="13" t="s">
        <v>118</v>
      </c>
      <c r="C17" s="17"/>
      <c r="D17" s="17"/>
      <c r="E17" s="17"/>
    </row>
    <row r="18" customFormat="false" ht="15" hidden="false" customHeight="false" outlineLevel="0" collapsed="false">
      <c r="A18" s="11" t="n">
        <v>14</v>
      </c>
      <c r="B18" s="13" t="s">
        <v>118</v>
      </c>
      <c r="C18" s="17"/>
      <c r="D18" s="17"/>
      <c r="E18" s="17"/>
    </row>
    <row r="19" customFormat="false" ht="15" hidden="false" customHeight="false" outlineLevel="0" collapsed="false">
      <c r="A19" s="11" t="n">
        <v>15</v>
      </c>
      <c r="B19" s="13" t="s">
        <v>118</v>
      </c>
      <c r="C19" s="17"/>
      <c r="D19" s="17"/>
      <c r="E19" s="17"/>
    </row>
    <row r="20" customFormat="false" ht="15" hidden="false" customHeight="false" outlineLevel="0" collapsed="false">
      <c r="A20" s="11" t="n">
        <v>16</v>
      </c>
      <c r="B20" s="13" t="s">
        <v>119</v>
      </c>
      <c r="C20" s="17"/>
      <c r="D20" s="17"/>
      <c r="E20" s="17"/>
    </row>
    <row r="21" customFormat="false" ht="15" hidden="false" customHeight="false" outlineLevel="0" collapsed="false">
      <c r="A21" s="11" t="n">
        <v>17</v>
      </c>
      <c r="B21" s="13" t="s">
        <v>119</v>
      </c>
      <c r="C21" s="17"/>
      <c r="D21" s="17"/>
      <c r="E21" s="17"/>
    </row>
    <row r="22" customFormat="false" ht="15" hidden="false" customHeight="false" outlineLevel="0" collapsed="false">
      <c r="A22" s="11" t="n">
        <v>18</v>
      </c>
      <c r="B22" s="13" t="s">
        <v>119</v>
      </c>
      <c r="C22" s="17"/>
      <c r="D22" s="17"/>
      <c r="E22" s="17"/>
    </row>
    <row r="23" customFormat="false" ht="15" hidden="false" customHeight="false" outlineLevel="0" collapsed="false">
      <c r="A23" s="11" t="n">
        <v>19</v>
      </c>
      <c r="B23" s="13" t="s">
        <v>120</v>
      </c>
      <c r="C23" s="17"/>
      <c r="D23" s="17"/>
      <c r="E23" s="17"/>
    </row>
    <row r="24" customFormat="false" ht="15" hidden="false" customHeight="false" outlineLevel="0" collapsed="false">
      <c r="A24" s="11" t="n">
        <v>20</v>
      </c>
      <c r="B24" s="13" t="s">
        <v>120</v>
      </c>
      <c r="C24" s="17"/>
      <c r="D24" s="17"/>
      <c r="E24" s="17"/>
    </row>
    <row r="25" customFormat="false" ht="15" hidden="false" customHeight="false" outlineLevel="0" collapsed="false">
      <c r="A25" s="11" t="n">
        <v>21</v>
      </c>
      <c r="B25" s="13" t="s">
        <v>120</v>
      </c>
      <c r="C25" s="17"/>
      <c r="D25" s="17"/>
      <c r="E25" s="17"/>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2026-06-01T03:21:13Z</dcterms:created>
  <dc:creator>openpyxl</dc:creator>
  <dc:description/>
  <dc:language>en-US</dc:language>
  <cp:lastModifiedBy/>
  <dcterms:modified xsi:type="dcterms:W3CDTF">2026-06-01T03:21:13Z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